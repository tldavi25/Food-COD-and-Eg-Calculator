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2086\Desktop\PhD Models\COD_to_Eg Models\"/>
    </mc:Choice>
  </mc:AlternateContent>
  <xr:revisionPtr revIDLastSave="0" documentId="13_ncr:1_{3B265770-77FD-49EF-8DBF-8CBAEB60A9C3}" xr6:coauthVersionLast="45" xr6:coauthVersionMax="45" xr10:uidLastSave="{00000000-0000-0000-0000-000000000000}"/>
  <bookViews>
    <workbookView xWindow="28680" yWindow="-120" windowWidth="29040" windowHeight="15840" activeTab="1" xr2:uid="{384CCF36-EAA4-4376-9155-8D945B63A9C5}"/>
  </bookViews>
  <sheets>
    <sheet name="directions" sheetId="6" r:id="rId1"/>
    <sheet name="results" sheetId="5" r:id="rId2"/>
    <sheet name="API data" sheetId="9" r:id="rId3"/>
    <sheet name="lit data" sheetId="3" r:id="rId4"/>
    <sheet name="calc mol &amp; energy data" sheetId="4" r:id="rId5"/>
  </sheets>
  <functionGroups builtInGroupCount="19"/>
  <definedNames>
    <definedName name="FDC_ID">directions!$M$6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3" l="1"/>
  <c r="D10" i="4" s="1"/>
  <c r="F10" i="4" s="1"/>
  <c r="D4" i="4"/>
  <c r="D5" i="4"/>
  <c r="D6" i="4"/>
  <c r="D7" i="4"/>
  <c r="D8" i="4"/>
  <c r="D9" i="4"/>
  <c r="D3" i="4"/>
  <c r="F3" i="4" s="1"/>
  <c r="I10" i="4" l="1"/>
  <c r="E10" i="4"/>
  <c r="H10" i="4"/>
  <c r="E3" i="4"/>
  <c r="G10" i="4"/>
  <c r="J10" i="4"/>
  <c r="A2" i="5"/>
  <c r="B2" i="5"/>
  <c r="J48" i="3" l="1"/>
  <c r="I18" i="5" l="1"/>
  <c r="J18" i="5" s="1"/>
  <c r="I19" i="5"/>
  <c r="J19" i="5" s="1"/>
  <c r="I20" i="5"/>
  <c r="J20" i="5" s="1"/>
  <c r="B3" i="5" l="1"/>
  <c r="J45" i="3" l="1"/>
  <c r="J44" i="3"/>
  <c r="J43" i="3"/>
  <c r="J41" i="3"/>
  <c r="I50" i="3"/>
  <c r="I49" i="3"/>
  <c r="J27" i="3"/>
  <c r="J16" i="3"/>
  <c r="J19" i="3"/>
  <c r="J20" i="3"/>
  <c r="J25" i="3"/>
  <c r="I32" i="3"/>
  <c r="D32" i="4" s="1"/>
  <c r="I33" i="3"/>
  <c r="D33" i="4" s="1"/>
  <c r="I34" i="3"/>
  <c r="D34" i="4" s="1"/>
  <c r="I35" i="3"/>
  <c r="D35" i="4" s="1"/>
  <c r="F35" i="4" s="1"/>
  <c r="I36" i="3"/>
  <c r="D36" i="4" s="1"/>
  <c r="I37" i="3"/>
  <c r="D37" i="4" s="1"/>
  <c r="I38" i="3"/>
  <c r="D38" i="4" s="1"/>
  <c r="G38" i="4" s="1"/>
  <c r="I39" i="3"/>
  <c r="D39" i="4" s="1"/>
  <c r="J39" i="4" s="1"/>
  <c r="I40" i="3"/>
  <c r="D40" i="4" s="1"/>
  <c r="I41" i="3"/>
  <c r="D41" i="4" s="1"/>
  <c r="I42" i="3"/>
  <c r="D42" i="4" s="1"/>
  <c r="F42" i="4" s="1"/>
  <c r="I43" i="3"/>
  <c r="D43" i="4" s="1"/>
  <c r="E43" i="4" s="1"/>
  <c r="I44" i="3"/>
  <c r="D44" i="4" s="1"/>
  <c r="I45" i="3"/>
  <c r="D45" i="4" s="1"/>
  <c r="I46" i="3"/>
  <c r="D46" i="4" s="1"/>
  <c r="I47" i="3"/>
  <c r="D47" i="4" s="1"/>
  <c r="F47" i="4" s="1"/>
  <c r="I48" i="3"/>
  <c r="I31" i="3"/>
  <c r="D31" i="4" s="1"/>
  <c r="F31" i="4" s="1"/>
  <c r="I11" i="3"/>
  <c r="D11" i="4" s="1"/>
  <c r="G11" i="4" s="1"/>
  <c r="I12" i="3"/>
  <c r="D12" i="4" s="1"/>
  <c r="F12" i="4" s="1"/>
  <c r="I13" i="3"/>
  <c r="D13" i="4" s="1"/>
  <c r="I14" i="3"/>
  <c r="D14" i="4" s="1"/>
  <c r="I15" i="3"/>
  <c r="D15" i="4" s="1"/>
  <c r="I16" i="3"/>
  <c r="D16" i="4" s="1"/>
  <c r="I17" i="3"/>
  <c r="D17" i="4" s="1"/>
  <c r="F17" i="4" s="1"/>
  <c r="I18" i="3"/>
  <c r="D18" i="4" s="1"/>
  <c r="I19" i="3"/>
  <c r="D19" i="4" s="1"/>
  <c r="E19" i="4" s="1"/>
  <c r="I20" i="3"/>
  <c r="D20" i="4" s="1"/>
  <c r="F20" i="4" s="1"/>
  <c r="I21" i="3"/>
  <c r="D21" i="4" s="1"/>
  <c r="F21" i="4" s="1"/>
  <c r="I22" i="3"/>
  <c r="D22" i="4" s="1"/>
  <c r="I23" i="3"/>
  <c r="D23" i="4" s="1"/>
  <c r="I24" i="3"/>
  <c r="D24" i="4" s="1"/>
  <c r="F24" i="4" s="1"/>
  <c r="I25" i="3"/>
  <c r="D25" i="4" s="1"/>
  <c r="I26" i="3"/>
  <c r="D26" i="4" s="1"/>
  <c r="I27" i="3"/>
  <c r="D27" i="4" s="1"/>
  <c r="E27" i="4" s="1"/>
  <c r="I28" i="3"/>
  <c r="D28" i="4" s="1"/>
  <c r="G28" i="4" s="1"/>
  <c r="I29" i="3"/>
  <c r="D29" i="4" s="1"/>
  <c r="G29" i="4" s="1"/>
  <c r="I30" i="3"/>
  <c r="D30" i="4" s="1"/>
  <c r="I4" i="3"/>
  <c r="I5" i="3"/>
  <c r="F5" i="4" s="1"/>
  <c r="I6" i="3"/>
  <c r="E6" i="4" s="1"/>
  <c r="I7" i="3"/>
  <c r="E7" i="4" s="1"/>
  <c r="I8" i="3"/>
  <c r="E8" i="4" s="1"/>
  <c r="I9" i="3"/>
  <c r="I3" i="3"/>
  <c r="G35" i="4" l="1"/>
  <c r="E35" i="4"/>
  <c r="G3" i="4"/>
  <c r="E31" i="4"/>
  <c r="G47" i="4"/>
  <c r="F29" i="4"/>
  <c r="J43" i="4"/>
  <c r="E29" i="4"/>
  <c r="E47" i="4"/>
  <c r="E20" i="4"/>
  <c r="E5" i="4"/>
  <c r="H4" i="4"/>
  <c r="I4" i="4"/>
  <c r="J4" i="4"/>
  <c r="H23" i="4"/>
  <c r="I23" i="4"/>
  <c r="G23" i="4"/>
  <c r="F23" i="4"/>
  <c r="H15" i="4"/>
  <c r="I15" i="4"/>
  <c r="F15" i="4"/>
  <c r="I46" i="4"/>
  <c r="H46" i="4"/>
  <c r="I34" i="4"/>
  <c r="H34" i="4"/>
  <c r="J34" i="4"/>
  <c r="F34" i="4"/>
  <c r="G34" i="4"/>
  <c r="G4" i="4"/>
  <c r="F8" i="4"/>
  <c r="I30" i="4"/>
  <c r="H30" i="4"/>
  <c r="G30" i="4"/>
  <c r="E30" i="4"/>
  <c r="J30" i="4"/>
  <c r="F30" i="4"/>
  <c r="I22" i="4"/>
  <c r="H22" i="4"/>
  <c r="J22" i="4"/>
  <c r="E22" i="4"/>
  <c r="F22" i="4"/>
  <c r="G22" i="4"/>
  <c r="I14" i="4"/>
  <c r="H14" i="4"/>
  <c r="G14" i="4"/>
  <c r="F14" i="4"/>
  <c r="J14" i="4"/>
  <c r="E14" i="4"/>
  <c r="H45" i="4"/>
  <c r="I45" i="4"/>
  <c r="G45" i="4"/>
  <c r="E45" i="4"/>
  <c r="F45" i="4"/>
  <c r="J45" i="4"/>
  <c r="H33" i="4"/>
  <c r="I33" i="4"/>
  <c r="F33" i="4"/>
  <c r="J33" i="4"/>
  <c r="G33" i="4"/>
  <c r="E33" i="4"/>
  <c r="J19" i="4"/>
  <c r="H3" i="4"/>
  <c r="I3" i="4"/>
  <c r="J3" i="4"/>
  <c r="H6" i="4"/>
  <c r="I6" i="4"/>
  <c r="J6" i="4"/>
  <c r="G6" i="4"/>
  <c r="H29" i="4"/>
  <c r="I29" i="4"/>
  <c r="J29" i="4"/>
  <c r="H25" i="4"/>
  <c r="I25" i="4"/>
  <c r="J25" i="4"/>
  <c r="H21" i="4"/>
  <c r="I21" i="4"/>
  <c r="J21" i="4"/>
  <c r="H17" i="4"/>
  <c r="I17" i="4"/>
  <c r="J17" i="4"/>
  <c r="H13" i="4"/>
  <c r="I13" i="4"/>
  <c r="J13" i="4"/>
  <c r="J46" i="3"/>
  <c r="J46" i="4" s="1"/>
  <c r="J47" i="3"/>
  <c r="D48" i="4"/>
  <c r="I44" i="4"/>
  <c r="H44" i="4"/>
  <c r="F44" i="4"/>
  <c r="E44" i="4"/>
  <c r="J44" i="4"/>
  <c r="G44" i="4"/>
  <c r="I40" i="4"/>
  <c r="H40" i="4"/>
  <c r="E40" i="4"/>
  <c r="F40" i="4"/>
  <c r="J40" i="4"/>
  <c r="G40" i="4"/>
  <c r="I36" i="4"/>
  <c r="H36" i="4"/>
  <c r="E36" i="4"/>
  <c r="J36" i="4"/>
  <c r="F36" i="4"/>
  <c r="G36" i="4"/>
  <c r="I32" i="4"/>
  <c r="H32" i="4"/>
  <c r="J32" i="4"/>
  <c r="E32" i="4"/>
  <c r="F32" i="4"/>
  <c r="G32" i="4"/>
  <c r="E15" i="4"/>
  <c r="F39" i="4"/>
  <c r="G39" i="4"/>
  <c r="G13" i="4"/>
  <c r="F7" i="4"/>
  <c r="E34" i="4"/>
  <c r="F6" i="4"/>
  <c r="E13" i="4"/>
  <c r="F13" i="4"/>
  <c r="H8" i="4"/>
  <c r="I8" i="4"/>
  <c r="J8" i="4"/>
  <c r="H27" i="4"/>
  <c r="I27" i="4"/>
  <c r="F27" i="4"/>
  <c r="G27" i="4"/>
  <c r="H19" i="4"/>
  <c r="I19" i="4"/>
  <c r="F19" i="4"/>
  <c r="G19" i="4"/>
  <c r="H11" i="4"/>
  <c r="I11" i="4"/>
  <c r="E11" i="4"/>
  <c r="B19" i="5" s="1"/>
  <c r="J11" i="4"/>
  <c r="G19" i="5" s="1"/>
  <c r="I42" i="4"/>
  <c r="H42" i="4"/>
  <c r="J42" i="4"/>
  <c r="E42" i="4"/>
  <c r="I38" i="4"/>
  <c r="H38" i="4"/>
  <c r="F38" i="4"/>
  <c r="J38" i="4"/>
  <c r="E38" i="4"/>
  <c r="F11" i="4"/>
  <c r="I7" i="4"/>
  <c r="H7" i="4"/>
  <c r="J7" i="4"/>
  <c r="I26" i="4"/>
  <c r="H26" i="4"/>
  <c r="G26" i="4"/>
  <c r="F26" i="4"/>
  <c r="E26" i="4"/>
  <c r="J26" i="4"/>
  <c r="I18" i="4"/>
  <c r="H18" i="4"/>
  <c r="F18" i="4"/>
  <c r="E18" i="4"/>
  <c r="J18" i="4"/>
  <c r="G18" i="4"/>
  <c r="H31" i="4"/>
  <c r="I31" i="4"/>
  <c r="H41" i="4"/>
  <c r="I41" i="4"/>
  <c r="F41" i="4"/>
  <c r="G41" i="4"/>
  <c r="J41" i="4"/>
  <c r="E41" i="4"/>
  <c r="H37" i="4"/>
  <c r="I37" i="4"/>
  <c r="J37" i="4"/>
  <c r="F37" i="4"/>
  <c r="G37" i="4"/>
  <c r="E37" i="4"/>
  <c r="E4" i="4"/>
  <c r="J31" i="4"/>
  <c r="J27" i="4"/>
  <c r="G46" i="4"/>
  <c r="I9" i="4"/>
  <c r="H9" i="4"/>
  <c r="J9" i="4"/>
  <c r="G9" i="4"/>
  <c r="I5" i="4"/>
  <c r="H5" i="4"/>
  <c r="G5" i="4"/>
  <c r="J5" i="4"/>
  <c r="I28" i="4"/>
  <c r="H28" i="4"/>
  <c r="J28" i="4"/>
  <c r="F28" i="4"/>
  <c r="E28" i="4"/>
  <c r="I24" i="4"/>
  <c r="H24" i="4"/>
  <c r="J24" i="4"/>
  <c r="E24" i="4"/>
  <c r="I20" i="4"/>
  <c r="H20" i="4"/>
  <c r="J20" i="4"/>
  <c r="I16" i="4"/>
  <c r="H16" i="4"/>
  <c r="G16" i="4"/>
  <c r="J16" i="4"/>
  <c r="I12" i="4"/>
  <c r="H12" i="4"/>
  <c r="J12" i="4"/>
  <c r="E12" i="4"/>
  <c r="H47" i="4"/>
  <c r="I47" i="4"/>
  <c r="H43" i="4"/>
  <c r="I43" i="4"/>
  <c r="H39" i="4"/>
  <c r="I39" i="4"/>
  <c r="H35" i="4"/>
  <c r="I35" i="4"/>
  <c r="J9" i="3"/>
  <c r="G31" i="4"/>
  <c r="F43" i="4"/>
  <c r="G43" i="4"/>
  <c r="E17" i="4"/>
  <c r="G25" i="4"/>
  <c r="E46" i="4"/>
  <c r="G8" i="4"/>
  <c r="J35" i="4"/>
  <c r="F4" i="4"/>
  <c r="J15" i="4"/>
  <c r="J23" i="4"/>
  <c r="G12" i="4"/>
  <c r="G21" i="4"/>
  <c r="G42" i="4"/>
  <c r="G7" i="4"/>
  <c r="G17" i="4"/>
  <c r="E39" i="4"/>
  <c r="G20" i="4"/>
  <c r="F16" i="4"/>
  <c r="F9" i="4"/>
  <c r="G15" i="4"/>
  <c r="E23" i="4"/>
  <c r="E16" i="4"/>
  <c r="G24" i="4"/>
  <c r="F46" i="4"/>
  <c r="E9" i="4"/>
  <c r="E25" i="4"/>
  <c r="J47" i="4"/>
  <c r="F25" i="4"/>
  <c r="E21" i="4"/>
  <c r="D19" i="5"/>
  <c r="C19" i="5" l="1"/>
  <c r="G18" i="5"/>
  <c r="K18" i="5" s="1"/>
  <c r="E18" i="5"/>
  <c r="B18" i="5"/>
  <c r="D18" i="5"/>
  <c r="C18" i="5"/>
  <c r="K19" i="5"/>
  <c r="E19" i="5"/>
  <c r="I48" i="4"/>
  <c r="H48" i="4"/>
  <c r="E48" i="4"/>
  <c r="B20" i="5" s="1"/>
  <c r="F48" i="4"/>
  <c r="J48" i="4"/>
  <c r="G20" i="5" s="1"/>
  <c r="K20" i="5" s="1"/>
  <c r="G48" i="4"/>
  <c r="B4" i="5" l="1"/>
  <c r="D20" i="5"/>
  <c r="E20" i="5"/>
  <c r="C20" i="5"/>
</calcChain>
</file>

<file path=xl/sharedStrings.xml><?xml version="1.0" encoding="utf-8"?>
<sst xmlns="http://schemas.openxmlformats.org/spreadsheetml/2006/main" count="285" uniqueCount="190">
  <si>
    <t>Nutrient</t>
  </si>
  <si>
    <t>Energy</t>
  </si>
  <si>
    <t>Protein</t>
  </si>
  <si>
    <t>Total lipid (fat)</t>
  </si>
  <si>
    <t>Carbohydrate, by difference</t>
  </si>
  <si>
    <t>Fiber, total dietary</t>
  </si>
  <si>
    <t>Calcium, Ca</t>
  </si>
  <si>
    <t>Iron, Fe</t>
  </si>
  <si>
    <t>Sodium, Na</t>
  </si>
  <si>
    <t>Fatty acids, total saturated</t>
  </si>
  <si>
    <t>18:1 undifferentiated</t>
  </si>
  <si>
    <t>18:2 undifferentiated</t>
  </si>
  <si>
    <t>18:3 undifferentiated</t>
  </si>
  <si>
    <t>Cholesterol</t>
  </si>
  <si>
    <t>Tryptophan</t>
  </si>
  <si>
    <t>Threonine</t>
  </si>
  <si>
    <t>Isoleucine</t>
  </si>
  <si>
    <t>Leucine</t>
  </si>
  <si>
    <t>Lysine</t>
  </si>
  <si>
    <t>Methionine</t>
  </si>
  <si>
    <t>Cystine</t>
  </si>
  <si>
    <t>Phenylalanine</t>
  </si>
  <si>
    <t>Tyrosine</t>
  </si>
  <si>
    <t>Valine</t>
  </si>
  <si>
    <t>Arginine</t>
  </si>
  <si>
    <t>Histidine</t>
  </si>
  <si>
    <t>Alanine</t>
  </si>
  <si>
    <t>Aspartic acid</t>
  </si>
  <si>
    <t>Glutamic acid</t>
  </si>
  <si>
    <t>Glycine</t>
  </si>
  <si>
    <t>Proline</t>
  </si>
  <si>
    <t>Serine</t>
  </si>
  <si>
    <t>Other</t>
  </si>
  <si>
    <t>Sucrose</t>
  </si>
  <si>
    <t>Fructose</t>
  </si>
  <si>
    <t>Lactose</t>
  </si>
  <si>
    <t>Maltose</t>
  </si>
  <si>
    <t>Galactose</t>
  </si>
  <si>
    <t>Starch</t>
  </si>
  <si>
    <t>Carbohydrate</t>
  </si>
  <si>
    <t>Macronutrient</t>
  </si>
  <si>
    <r>
      <t>Δh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 xml:space="preserve"> (kJ mol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</si>
  <si>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t>source</t>
  </si>
  <si>
    <t>Asparagine</t>
  </si>
  <si>
    <t>Glutamine</t>
  </si>
  <si>
    <r>
      <t>MW (g mol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</si>
  <si>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carbon</t>
  </si>
  <si>
    <t>hydrogen</t>
  </si>
  <si>
    <t>oxygen</t>
  </si>
  <si>
    <t>nitrogen</t>
  </si>
  <si>
    <t>sulfur</t>
  </si>
  <si>
    <t>Butyric acid</t>
  </si>
  <si>
    <t>Caproic acid</t>
  </si>
  <si>
    <t>Caprylic acid</t>
  </si>
  <si>
    <t>Capric acid</t>
  </si>
  <si>
    <t>Lauric acid</t>
  </si>
  <si>
    <t>Myrisitic acid</t>
  </si>
  <si>
    <t>Palmitic acid</t>
  </si>
  <si>
    <t>Stearic acid</t>
  </si>
  <si>
    <t>Arachidic acid</t>
  </si>
  <si>
    <t>Behenic acid</t>
  </si>
  <si>
    <t>Palmitoleic acid</t>
  </si>
  <si>
    <t>Oleic acid</t>
  </si>
  <si>
    <t>Linoleic acid</t>
  </si>
  <si>
    <t>α-Linolenic acid</t>
  </si>
  <si>
    <t>Arachidonic acid</t>
  </si>
  <si>
    <t>EPA</t>
  </si>
  <si>
    <t>DPA</t>
  </si>
  <si>
    <t>DHA</t>
  </si>
  <si>
    <r>
      <t>Ponomarev, V.V.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Migarskaya, L.B.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amino-acids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1960, 34, 1182-1183.</t>
    </r>
  </si>
  <si>
    <r>
      <t>Ponomarev, V.V.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Migarskaya, L.B.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amino-acids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1960, 34, 1182-1183</t>
    </r>
    <r>
      <rPr>
        <sz val="8"/>
        <color rgb="FF4C2C92"/>
        <rFont val="Source Sans Pro"/>
        <family val="2"/>
      </rPr>
      <t>.</t>
    </r>
  </si>
  <si>
    <t>Glucose</t>
  </si>
  <si>
    <r>
      <t>Clarke, T.H.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Stegeman, G.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some mono- and disaccharides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1939, 61, 1726-1730.</t>
    </r>
  </si>
  <si>
    <t>https://www.chemicalbook.com/ProductMSDSDetailCB1327034_EN.htm</t>
  </si>
  <si>
    <r>
      <rPr>
        <i/>
        <sz val="8"/>
        <color theme="1"/>
        <rFont val="Source Sans Pro"/>
        <family val="2"/>
      </rPr>
      <t>CRC Handbook of Chemistry and Physics</t>
    </r>
    <r>
      <rPr>
        <sz val="8"/>
        <color theme="1"/>
        <rFont val="Source Sans Pro"/>
        <family val="2"/>
      </rPr>
      <t>, 49th edition, 1968-1969, p. D-188.</t>
    </r>
  </si>
  <si>
    <r>
      <t>Contineanu, I.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Marchidan, D.I.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 enthalpies of combustion and formation of D-alanine, L-alanine, DL-alanine, and β-alanine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Rev. Roum. Chim.</t>
    </r>
    <r>
      <rPr>
        <sz val="8"/>
        <color rgb="FF000000"/>
        <rFont val="Source Sans Pro"/>
        <family val="2"/>
      </rPr>
      <t>, 1984, 29, 43-48.</t>
    </r>
  </si>
  <si>
    <r>
      <t>Huffman, H.M.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Fox, S.W.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Ellis, E.L.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Thermal data. VII. The heats of combustion of seven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1937, 59, 2144-21.</t>
    </r>
  </si>
  <si>
    <r>
      <t>Huffman, H.M.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Ellis, E.L.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Fox, S.W.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Thermal data. VI. The heats of combustion and free energies of seven organic compounds containing nitrogen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Chem. Soc.</t>
    </r>
    <r>
      <rPr>
        <sz val="8"/>
        <color rgb="FF000000"/>
        <rFont val="Source Sans Pro"/>
        <family val="2"/>
      </rPr>
      <t>, 1936, 58, 1728-1733.</t>
    </r>
  </si>
  <si>
    <r>
      <t>Sunner, S., </t>
    </r>
    <r>
      <rPr>
        <i/>
        <sz val="8"/>
        <color theme="1"/>
        <rFont val="Source Sans Pro"/>
        <family val="2"/>
      </rPr>
      <t>Determination of combustion heats of organo-sulphur compounds</t>
    </r>
    <r>
      <rPr>
        <sz val="8"/>
        <color theme="1"/>
        <rFont val="Source Sans Pro"/>
        <family val="2"/>
      </rPr>
      <t>, </t>
    </r>
    <r>
      <rPr>
        <b/>
        <sz val="8"/>
        <color theme="1"/>
        <rFont val="Source Sans Pro"/>
        <family val="2"/>
      </rPr>
      <t>Svensk. Kim. Tidr.</t>
    </r>
    <r>
      <rPr>
        <sz val="8"/>
        <color theme="1"/>
        <rFont val="Source Sans Pro"/>
        <family val="2"/>
      </rPr>
      <t>, 1946, 58, 71-81.</t>
    </r>
  </si>
  <si>
    <r>
      <t>Tsuzuki, T.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Hunt,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combustion. VI. The heats of combustion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Phys. Chem.</t>
    </r>
    <r>
      <rPr>
        <sz val="8"/>
        <color rgb="FF000000"/>
        <rFont val="Source Sans Pro"/>
        <family val="2"/>
      </rPr>
      <t>, 1957, 61, 1668.</t>
    </r>
  </si>
  <si>
    <r>
      <t>Sakiyama, M.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Seki,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Enthalpies of combustion of organic compounds. II. L- and D-glutamic acid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Bull. Chem. Soc. Jpn.</t>
    </r>
    <r>
      <rPr>
        <sz val="8"/>
        <color rgb="FF000000"/>
        <rFont val="Source Sans Pro"/>
        <family val="2"/>
      </rPr>
      <t>, 1975, 48, 2203-2204.</t>
    </r>
  </si>
  <si>
    <r>
      <t>Vasil'ev, V.P.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Borodin, V.A.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Kopnyshev, S.B.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Calculation of the standard enthalpies of combustion and of formation of crystalline organic acids and complexones from the energy contributions of atomic groups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1991, 65, 29-32.</t>
    </r>
  </si>
  <si>
    <r>
      <t>Vasilev, V.P.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Borodin, V.A.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Kopnyshev, S.B.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Standard enthalpies of formation of L-histidine and L-proline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Russ. J. Phys. Chem. (Engl. Transl.)</t>
    </r>
    <r>
      <rPr>
        <sz val="8"/>
        <color rgb="FF000000"/>
        <rFont val="Source Sans Pro"/>
        <family val="2"/>
      </rPr>
      <t>, 1989, 63, 891-892.</t>
    </r>
  </si>
  <si>
    <r>
      <t>Wu,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Zhu, Y.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Gao, Z.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Qu,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Determination of combustion heat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Wuhan Daxue Xuebao Ziran Kexueban</t>
    </r>
    <r>
      <rPr>
        <sz val="8"/>
        <color rgb="FF000000"/>
        <rFont val="Source Sans Pro"/>
        <family val="2"/>
      </rPr>
      <t>, 1993, 78-82</t>
    </r>
  </si>
  <si>
    <r>
      <t>Sabbah,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Minadakis, C.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Thermodynamique de substances soufrees. II. Etude thermochimique de la l-cysteine et de la l-methionine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Thermochim. Acta</t>
    </r>
    <r>
      <rPr>
        <sz val="8"/>
        <color rgb="FF000000"/>
        <rFont val="Source Sans Pro"/>
        <family val="2"/>
      </rPr>
      <t>, 1981, 43, 269-277. </t>
    </r>
  </si>
  <si>
    <r>
      <t>Tsuzuki, T.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Harper, D.O.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Hunt,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combustion. VII. The heats of combustion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Phys. Chem.</t>
    </r>
    <r>
      <rPr>
        <sz val="8"/>
        <color rgb="FF000000"/>
        <rFont val="Source Sans Pro"/>
        <family val="2"/>
      </rPr>
      <t>, 1958, 62, 1594-1595.</t>
    </r>
  </si>
  <si>
    <r>
      <t>Sabbath,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Laffitte, M.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Enthalpy of formation of solid L-proline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Thermodyn.</t>
    </r>
    <r>
      <rPr>
        <sz val="8"/>
        <color rgb="FF000000"/>
        <rFont val="Source Sans Pro"/>
        <family val="2"/>
      </rPr>
      <t>, 1978, 10, 101-102.</t>
    </r>
  </si>
  <si>
    <r>
      <t>Sabbah, R.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Laffitte, M.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Enthalpy of formation of L-serine in the solid state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Thermochim. Acta</t>
    </r>
    <r>
      <rPr>
        <sz val="8"/>
        <color rgb="FF000000"/>
        <rFont val="Source Sans Pro"/>
        <family val="2"/>
      </rPr>
      <t>, 1978, 23, 192-195.</t>
    </r>
  </si>
  <si>
    <r>
      <t>Wu,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Zhu, Y.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Gao, Z.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Qu, S.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Determination of combustion heat of some amino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Wuhan Daxue Xuebao Ziran Kexueban</t>
    </r>
    <r>
      <rPr>
        <sz val="8"/>
        <color rgb="FF000000"/>
        <rFont val="Source Sans Pro"/>
        <family val="2"/>
      </rPr>
      <t>, 1993, 78-82.</t>
    </r>
  </si>
  <si>
    <r>
      <t>Lebedeva, N.D., </t>
    </r>
    <r>
      <rPr>
        <i/>
        <sz val="8"/>
        <color theme="1"/>
        <rFont val="Source Sans Pro"/>
        <family val="2"/>
      </rPr>
      <t>Heats of combustion of monocarboxylic acids</t>
    </r>
    <r>
      <rPr>
        <sz val="8"/>
        <color theme="1"/>
        <rFont val="Source Sans Pro"/>
        <family val="2"/>
      </rPr>
      <t>, </t>
    </r>
    <r>
      <rPr>
        <b/>
        <sz val="8"/>
        <color theme="1"/>
        <rFont val="Source Sans Pro"/>
        <family val="2"/>
      </rPr>
      <t>Russ. J. Phys. Chem.</t>
    </r>
    <r>
      <rPr>
        <sz val="8"/>
        <color theme="1"/>
        <rFont val="Source Sans Pro"/>
        <family val="2"/>
      </rPr>
      <t xml:space="preserve"> (Engl. Transl.), 1964, 38, 1435-1437.</t>
    </r>
  </si>
  <si>
    <r>
      <t>Fenwick, J.O.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Harrop, 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Head, A.J.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Thermodynamic properties of organic oxygen compounds. 46. Enthalpies of formation of ethyl acetate and 1-hexanoix acid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Thermodyn.</t>
    </r>
    <r>
      <rPr>
        <sz val="8"/>
        <color rgb="FF000000"/>
        <rFont val="Source Sans Pro"/>
        <family val="2"/>
      </rPr>
      <t>, 1978, 10, 687-690.</t>
    </r>
  </si>
  <si>
    <r>
      <t>Adriaanse, N.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Dekker, H.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Coops, J.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combustion of normal saturated fatty acids and their methyl esters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Rec. Trav. Chim. Pays/Bas</t>
    </r>
    <r>
      <rPr>
        <sz val="8"/>
        <color rgb="FF000000"/>
        <rFont val="Source Sans Pro"/>
        <family val="2"/>
      </rPr>
      <t>, 1965, 84, 393-407.</t>
    </r>
  </si>
  <si>
    <r>
      <t>Freedman, B.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Bagby, M.O.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Khoury, H.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Correlation of heats of combustion with empirical formulas for fatty alcohols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Am. Oil Chem. Soc.</t>
    </r>
    <r>
      <rPr>
        <sz val="8"/>
        <color rgb="FF000000"/>
        <rFont val="Source Sans Pro"/>
        <family val="2"/>
      </rPr>
      <t>, 1989, 66, 595-596.</t>
    </r>
  </si>
  <si>
    <r>
      <t>Rogers, D.W.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Hoyte, O.P.A.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Ho, R.K.C.</t>
    </r>
    <r>
      <rPr>
        <sz val="8"/>
        <color rgb="FF000000"/>
        <rFont val="Source Sans Pro"/>
        <family val="2"/>
      </rPr>
      <t>, </t>
    </r>
    <r>
      <rPr>
        <i/>
        <sz val="8"/>
        <color rgb="FF000000"/>
        <rFont val="Source Sans Pro"/>
        <family val="2"/>
      </rPr>
      <t>Heats of hydrogenation of large molecules. Part 2. Six unsaturated and polyunsaturated fatty acids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J. Chem. Soc. Faraday Trans. 1</t>
    </r>
    <r>
      <rPr>
        <sz val="8"/>
        <color rgb="FF000000"/>
        <rFont val="Source Sans Pro"/>
        <family val="2"/>
      </rPr>
      <t>, 1978, 74, 46-52.</t>
    </r>
  </si>
  <si>
    <t>water</t>
  </si>
  <si>
    <t>carbon dioxide</t>
  </si>
  <si>
    <r>
      <t>Cox, J.D.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Wagman, D.D.</t>
    </r>
    <r>
      <rPr>
        <sz val="8"/>
        <color rgb="FF000000"/>
        <rFont val="Source Sans Pro"/>
        <family val="2"/>
      </rPr>
      <t>; </t>
    </r>
    <r>
      <rPr>
        <sz val="8"/>
        <color rgb="FF4C2C92"/>
        <rFont val="Source Sans Pro"/>
        <family val="2"/>
      </rPr>
      <t>Medvedev, V.A.</t>
    </r>
    <r>
      <rPr>
        <sz val="8"/>
        <color rgb="FF000000"/>
        <rFont val="Source Sans Pro"/>
        <family val="2"/>
      </rPr>
      <t>, </t>
    </r>
    <r>
      <rPr>
        <b/>
        <sz val="8"/>
        <color rgb="FF000000"/>
        <rFont val="Source Sans Pro"/>
        <family val="2"/>
      </rPr>
      <t>CODATA Key Values for Thermodynamics</t>
    </r>
    <r>
      <rPr>
        <sz val="8"/>
        <color rgb="FF000000"/>
        <rFont val="Source Sans Pro"/>
        <family val="2"/>
      </rPr>
      <t>, Hemisphere Publishing Corp., New York, 1984, 1.</t>
    </r>
  </si>
  <si>
    <r>
      <t>Keffler, L.J.P., </t>
    </r>
    <r>
      <rPr>
        <i/>
        <sz val="8"/>
        <color theme="1"/>
        <rFont val="Source Sans Pro"/>
        <family val="2"/>
      </rPr>
      <t>Calorimetric researches on geometrical isomerism. Part I. Preliminary studies on oleic and elaidic acids and esters from a comparison of their heats of combustion</t>
    </r>
    <r>
      <rPr>
        <sz val="8"/>
        <color theme="1"/>
        <rFont val="Source Sans Pro"/>
        <family val="2"/>
      </rPr>
      <t>,</t>
    </r>
    <r>
      <rPr>
        <b/>
        <sz val="8"/>
        <color theme="1"/>
        <rFont val="Source Sans Pro"/>
        <family val="2"/>
      </rPr>
      <t>J. Phys. Chem.</t>
    </r>
    <r>
      <rPr>
        <sz val="8"/>
        <color theme="1"/>
        <rFont val="Source Sans Pro"/>
        <family val="2"/>
      </rPr>
      <t>, 1930, 34, 1319-1325.</t>
    </r>
  </si>
  <si>
    <t>https://www.chemeo.com/cid/87-622-5/Arachidonic%20acid.pdf</t>
  </si>
  <si>
    <t>Data regarding key ingredients within food items found in literature</t>
  </si>
  <si>
    <t>Calculated data to determine the enthalpies of combustion and the chemical formula for each macronutrient</t>
  </si>
  <si>
    <t>Molecular formula</t>
  </si>
  <si>
    <t>C</t>
  </si>
  <si>
    <t>H</t>
  </si>
  <si>
    <t>O</t>
  </si>
  <si>
    <t>N</t>
  </si>
  <si>
    <t>Normalized to total mass</t>
  </si>
  <si>
    <t>16:1 undifferentiated</t>
  </si>
  <si>
    <t>20:4 undifferentiated</t>
  </si>
  <si>
    <t>20:5 n-3 (EPA)</t>
  </si>
  <si>
    <t>22:5 n-3 (DPA)</t>
  </si>
  <si>
    <t>22:6 n-3 (DHA)</t>
  </si>
  <si>
    <r>
      <t>ΔH (kJ g-mac</t>
    </r>
    <r>
      <rPr>
        <vertAlign val="superscript"/>
        <sz val="11"/>
        <color theme="1"/>
        <rFont val="Calibri"/>
        <family val="2"/>
      </rPr>
      <t>-1</t>
    </r>
    <r>
      <rPr>
        <sz val="11"/>
        <color theme="1"/>
        <rFont val="Calibri"/>
        <family val="2"/>
      </rPr>
      <t>)</t>
    </r>
  </si>
  <si>
    <r>
      <t>S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</si>
  <si>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N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</si>
  <si>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O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</si>
  <si>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H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</si>
  <si>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C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</si>
  <si>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Wt (mol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</si>
  <si>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Wt (g per100g)</t>
  </si>
  <si>
    <r>
      <t>COD (gCOD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</si>
  <si>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COD (gCOD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</si>
  <si>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Database ID</t>
  </si>
  <si>
    <t>Nutrient name</t>
  </si>
  <si>
    <t>https://www.mckendree.edu/academics/scholars/issue23/tara-stacey.pdf</t>
  </si>
  <si>
    <t>weighted correction based on DHA</t>
  </si>
  <si>
    <r>
      <t>E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(kcal g-mac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</si>
  <si>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(kcal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</si>
  <si>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Resulting COD and E</t>
    </r>
    <r>
      <rPr>
        <b/>
        <vertAlign val="subscript"/>
        <sz val="14"/>
        <color theme="1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 values for food item</t>
    </r>
  </si>
  <si>
    <r>
      <t>Directions on how to use the Food COD &amp; E</t>
    </r>
    <r>
      <rPr>
        <b/>
        <vertAlign val="subscript"/>
        <sz val="14"/>
        <color theme="1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 Calculator and assumptions utilized</t>
    </r>
  </si>
  <si>
    <t>Name</t>
  </si>
  <si>
    <t>Amount</t>
  </si>
  <si>
    <t>FOOD ID:</t>
  </si>
  <si>
    <t xml:space="preserve">FDC ID: </t>
  </si>
  <si>
    <t>Fat</t>
  </si>
  <si>
    <r>
      <t xml:space="preserve">Jessup, R.S.;Prosen, E.J., </t>
    </r>
    <r>
      <rPr>
        <i/>
        <sz val="8"/>
        <rFont val="Source Sans Pro"/>
        <family val="2"/>
      </rPr>
      <t>Heats of Combustion and Formation of Cellulose and Nitroceullose (Cellulose Nitrate)</t>
    </r>
    <r>
      <rPr>
        <sz val="8"/>
        <rFont val="Source Sans Pro"/>
        <family val="2"/>
      </rPr>
      <t xml:space="preserve">, </t>
    </r>
    <r>
      <rPr>
        <b/>
        <sz val="8"/>
        <rFont val="Source Sans Pro"/>
        <family val="2"/>
      </rPr>
      <t>J. Res. Natl. Inst. Stan.</t>
    </r>
    <r>
      <rPr>
        <sz val="8"/>
        <rFont val="Source Sans Pro"/>
        <family val="2"/>
      </rPr>
      <t>, 1950</t>
    </r>
  </si>
  <si>
    <t>Cellulose</t>
  </si>
  <si>
    <t>Fatty acids, total trans</t>
  </si>
  <si>
    <r>
      <t>dry wt (g-mac g-dry wt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</si>
  <si>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r>
      <t>wet wt (g-mac 100 g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</si>
  <si>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Macronutrient mass per total mass</t>
  </si>
  <si>
    <t>Carbs, Proteins, and Fats (CPF)</t>
  </si>
  <si>
    <t>Normalized to CPF mass</t>
  </si>
  <si>
    <t>Table of results split into CPF contribution</t>
  </si>
  <si>
    <r>
      <t>Total COD (gCOD g-dry wt</t>
    </r>
    <r>
      <rPr>
        <vertAlign val="superscript"/>
        <sz val="14"/>
        <color theme="1"/>
        <rFont val="Calibri"/>
        <family val="2"/>
        <scheme val="minor"/>
      </rPr>
      <t>-1</t>
    </r>
    <r>
      <rPr>
        <sz val="14"/>
        <color theme="1"/>
        <rFont val="Calibri"/>
        <family val="2"/>
        <scheme val="minor"/>
      </rPr>
      <t>)</t>
    </r>
  </si>
  <si>
    <r>
      <t>Total E</t>
    </r>
    <r>
      <rPr>
        <vertAlign val="subscript"/>
        <sz val="14"/>
        <color theme="1"/>
        <rFont val="Calibri"/>
        <family val="2"/>
        <scheme val="minor"/>
      </rPr>
      <t>g</t>
    </r>
    <r>
      <rPr>
        <sz val="14"/>
        <color theme="1"/>
        <rFont val="Calibri"/>
        <family val="2"/>
        <scheme val="minor"/>
      </rPr>
      <t xml:space="preserve"> (kcal g-dry wt</t>
    </r>
    <r>
      <rPr>
        <vertAlign val="superscript"/>
        <sz val="14"/>
        <color theme="1"/>
        <rFont val="Calibri"/>
        <family val="2"/>
        <scheme val="minor"/>
      </rPr>
      <t>-1</t>
    </r>
    <r>
      <rPr>
        <sz val="14"/>
        <color theme="1"/>
        <rFont val="Calibri"/>
        <family val="2"/>
        <scheme val="minor"/>
      </rPr>
      <t>)</t>
    </r>
  </si>
  <si>
    <t>Proximates</t>
  </si>
  <si>
    <t>Water</t>
  </si>
  <si>
    <t>Total fat (NLEA)</t>
  </si>
  <si>
    <t>Ash</t>
  </si>
  <si>
    <t>Carbohydrates</t>
  </si>
  <si>
    <t>Minerals</t>
  </si>
  <si>
    <t>Magnesium, Mg</t>
  </si>
  <si>
    <t>Phosphorus, P</t>
  </si>
  <si>
    <t>Potassium, K</t>
  </si>
  <si>
    <t>Zinc, Zn</t>
  </si>
  <si>
    <t>Copper, Cu</t>
  </si>
  <si>
    <t>Manganese, Mn</t>
  </si>
  <si>
    <t>Selenium, Se</t>
  </si>
  <si>
    <t>Vitamins and Other Components</t>
  </si>
  <si>
    <t>Riboflavin</t>
  </si>
  <si>
    <t>Niacin</t>
  </si>
  <si>
    <t>Vitamin B-6</t>
  </si>
  <si>
    <t>Vitamin B-12</t>
  </si>
  <si>
    <t>Lipids</t>
  </si>
  <si>
    <t>Fatty acids, total monounsaturated</t>
  </si>
  <si>
    <t>14:1 c</t>
  </si>
  <si>
    <t>16:1 c</t>
  </si>
  <si>
    <t>17:1 c</t>
  </si>
  <si>
    <t>18:1 c</t>
  </si>
  <si>
    <t>20:1 c</t>
  </si>
  <si>
    <t>Fatty acids, total polyunsaturated</t>
  </si>
  <si>
    <t>18:2 c</t>
  </si>
  <si>
    <t>18:2 n-6 c,c</t>
  </si>
  <si>
    <t>18:2 CLAs</t>
  </si>
  <si>
    <t>18:3 c</t>
  </si>
  <si>
    <t>18:3 n-3 c,c,c (ALA)</t>
  </si>
  <si>
    <t>20:2 c</t>
  </si>
  <si>
    <t>20:2 n-6 c,c</t>
  </si>
  <si>
    <t>20:3 c</t>
  </si>
  <si>
    <t>20:3 n-6</t>
  </si>
  <si>
    <t>20:4 c</t>
  </si>
  <si>
    <t>20:5 c</t>
  </si>
  <si>
    <t>22:5 c</t>
  </si>
  <si>
    <t>22:6 c</t>
  </si>
  <si>
    <t>Fatty acids, total trans-monoenoic</t>
  </si>
  <si>
    <t>16:1 t</t>
  </si>
  <si>
    <t>18:1 t</t>
  </si>
  <si>
    <t>Fatty acids, total trans-dienoic</t>
  </si>
  <si>
    <t>18:2 t not further defined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</si>
</sst>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E+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8"/>
      <color rgb="FF4C2C92"/>
      <name val="Source Sans Pro"/>
      <family val="2"/>
    </font>
    <font>
      <sz val="8"/>
      <color rgb="FF000000"/>
      <name val="Source Sans Pro"/>
      <family val="2"/>
    </font>
    <font>
      <i/>
      <sz val="8"/>
      <color rgb="FF000000"/>
      <name val="Source Sans Pro"/>
      <family val="2"/>
    </font>
    <font>
      <b/>
      <sz val="8"/>
      <color rgb="FF000000"/>
      <name val="Source Sans Pro"/>
      <family val="2"/>
    </font>
    <font>
      <u/>
      <sz val="11"/>
      <color theme="10"/>
      <name val="Calibri"/>
      <family val="2"/>
      <scheme val="minor"/>
    </font>
    <font>
      <sz val="8"/>
      <color theme="1"/>
      <name val="Source Sans Pro"/>
      <family val="2"/>
    </font>
    <font>
      <i/>
      <sz val="8"/>
      <color theme="1"/>
      <name val="Source Sans Pro"/>
      <family val="2"/>
    </font>
    <font>
      <u/>
      <sz val="8"/>
      <color rgb="FF0D476E"/>
      <name val="Source Sans Pro"/>
      <family val="2"/>
    </font>
    <font>
      <sz val="11"/>
      <color rgb="FF000000"/>
      <name val="Calibri"/>
      <family val="2"/>
      <scheme val="minor"/>
    </font>
    <font>
      <b/>
      <sz val="8"/>
      <color theme="1"/>
      <name val="Source Sans Pro"/>
      <family val="2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Source Sans Pro"/>
      <family val="2"/>
    </font>
    <font>
      <i/>
      <sz val="8"/>
      <name val="Source Sans Pro"/>
      <family val="2"/>
    </font>
    <font>
      <b/>
      <sz val="8"/>
      <name val="Source Sans Pro"/>
      <family val="2"/>
    </font>
    <font>
      <sz val="13"/>
      <color rgb="FF212121"/>
      <name val="Source Sans Pro"/>
      <family val="2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5" fillId="0" borderId="0" xfId="0" applyFont="1"/>
    <xf numFmtId="0" fontId="9" fillId="0" borderId="0" xfId="1"/>
    <xf numFmtId="0" fontId="10" fillId="0" borderId="0" xfId="0" applyFont="1"/>
    <xf numFmtId="0" fontId="12" fillId="0" borderId="0" xfId="0" applyFont="1"/>
    <xf numFmtId="0" fontId="13" fillId="0" borderId="0" xfId="0" applyFont="1" applyAlignment="1">
      <alignment horizontal="left" vertical="center" wrapText="1"/>
    </xf>
    <xf numFmtId="0" fontId="15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0" xfId="0" applyBorder="1"/>
    <xf numFmtId="0" fontId="0" fillId="0" borderId="4" xfId="0" applyBorder="1"/>
    <xf numFmtId="164" fontId="0" fillId="0" borderId="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6" xfId="0" applyBorder="1"/>
    <xf numFmtId="0" fontId="18" fillId="0" borderId="0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0" xfId="0" applyBorder="1"/>
    <xf numFmtId="20" fontId="0" fillId="0" borderId="0" xfId="0" applyNumberFormat="1" applyAlignment="1">
      <alignment horizontal="left"/>
    </xf>
    <xf numFmtId="0" fontId="0" fillId="0" borderId="5" xfId="0" applyBorder="1" applyAlignment="1">
      <alignment horizontal="center"/>
    </xf>
    <xf numFmtId="0" fontId="21" fillId="0" borderId="0" xfId="0" applyFo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15" fillId="0" borderId="9" xfId="0" applyFont="1" applyBorder="1"/>
    <xf numFmtId="0" fontId="0" fillId="0" borderId="12" xfId="0" applyBorder="1"/>
    <xf numFmtId="0" fontId="22" fillId="0" borderId="10" xfId="0" applyFont="1" applyBorder="1"/>
    <xf numFmtId="164" fontId="22" fillId="3" borderId="3" xfId="0" applyNumberFormat="1" applyFont="1" applyFill="1" applyBorder="1"/>
    <xf numFmtId="164" fontId="22" fillId="3" borderId="8" xfId="0" applyNumberFormat="1" applyFont="1" applyFill="1" applyBorder="1"/>
    <xf numFmtId="0" fontId="22" fillId="0" borderId="11" xfId="0" applyFont="1" applyBorder="1"/>
    <xf numFmtId="0" fontId="22" fillId="3" borderId="14" xfId="0" applyFont="1" applyFill="1" applyBorder="1"/>
    <xf numFmtId="0" fontId="22" fillId="3" borderId="13" xfId="0" applyFont="1" applyFill="1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15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20" fontId="0" fillId="0" borderId="0" xfId="0" applyNumberFormat="1"/>
    <xf numFmtId="46" fontId="0" fillId="0" borderId="0" xfId="0" applyNumberFormat="1"/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425451</xdr:colOff>
      <xdr:row>2</xdr:row>
      <xdr:rowOff>15875</xdr:rowOff>
    </xdr:from>
    <xdr:ext cx="5181600" cy="18145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5451" y="473075"/>
          <a:ext cx="5181600" cy="181459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Directions:</a:t>
          </a:r>
        </a:p>
        <a:p>
          <a:r>
            <a:rPr lang="en-US" sz="1100"/>
            <a:t>1. Go to the</a:t>
          </a:r>
          <a:r>
            <a:rPr lang="en-US" sz="1100" baseline="0"/>
            <a:t> USDA FoodData Central database website: </a:t>
          </a:r>
          <a:r>
            <a:rPr lang="en-US">
              <a:hlinkClick xmlns:r="http://schemas.openxmlformats.org/officeDocument/2006/relationships" r:id=""/>
            </a:rPr>
            <a:t>https://fdc.nal.usda.gov/index.html</a:t>
          </a:r>
          <a:endParaRPr lang="en-US"/>
        </a:p>
        <a:p>
          <a:r>
            <a:rPr lang="en-US" sz="1100"/>
            <a:t>2. Input the desired food item into the "Search</a:t>
          </a:r>
          <a:r>
            <a:rPr lang="en-US" sz="1100" baseline="0"/>
            <a:t> FoodData Central:" search box.</a:t>
          </a:r>
        </a:p>
        <a:p>
          <a:r>
            <a:rPr lang="en-US" sz="1100" baseline="0"/>
            <a:t>3. Select the desired food product from results. </a:t>
          </a:r>
        </a:p>
        <a:p>
          <a:r>
            <a:rPr lang="en-US" sz="1100" baseline="0"/>
            <a:t>4. Copy the "FDC ID" number from the resulting webpage and paste in the box to the right of these directions.</a:t>
          </a:r>
        </a:p>
        <a:p>
          <a:r>
            <a:rPr lang="en-US" sz="1100" baseline="0"/>
            <a:t>5. Click the button stating "RUN CALCULATOR" to the right. Resulting values for total COD and E</a:t>
          </a:r>
          <a:r>
            <a:rPr lang="en-US" sz="1100" baseline="-25000"/>
            <a:t>g</a:t>
          </a:r>
          <a:r>
            <a:rPr lang="en-US" sz="1100" baseline="0"/>
            <a:t> are in the results tab. Results also include a table of the COD and Eg values for carbohydrates, proteins, and fats (CPF). </a:t>
          </a:r>
          <a:endParaRPr lang="en-US" sz="1100" baseline="-25000"/>
        </a:p>
      </xdr:txBody>
    </xdr:sp>
    <xdr:clientData/>
  </xdr:oneCellAnchor>
  <xdr:oneCellAnchor>
    <xdr:from>
      <xdr:col>0</xdr:col>
      <xdr:colOff>428626</xdr:colOff>
      <xdr:row>13</xdr:row>
      <xdr:rowOff>123825</xdr:rowOff>
    </xdr:from>
    <xdr:ext cx="5181600" cy="405354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28626" y="2724150"/>
          <a:ext cx="5181600" cy="4053546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Assumptions:</a:t>
          </a:r>
        </a:p>
        <a:p>
          <a:r>
            <a:rPr lang="en-US" sz="1100"/>
            <a:t>1. No</a:t>
          </a:r>
          <a:r>
            <a:rPr lang="en-US" sz="1100" baseline="0"/>
            <a:t> nutrients other than carbohydrates, proteins, and fats contribute to the intake energy or the chemical oxygen demand.</a:t>
          </a:r>
        </a:p>
        <a:p>
          <a:r>
            <a:rPr lang="en-US" sz="1100" baseline="0"/>
            <a:t>2. Enthalpy of combustion variables (</a:t>
          </a:r>
          <a:r>
            <a:rPr lang="el-GR" sz="1100" baseline="0"/>
            <a:t>Δ</a:t>
          </a:r>
          <a:r>
            <a:rPr lang="en-US" sz="1100" baseline="0"/>
            <a:t>h</a:t>
          </a:r>
          <a:r>
            <a:rPr lang="en-US" sz="1100" baseline="-25000"/>
            <a:t>c</a:t>
          </a:r>
          <a:r>
            <a:rPr lang="en-US" sz="1100" baseline="0"/>
            <a:t>) are empirical values found using the NIST WebBook and are under standard conditions. Sources are listed in the same row as the value.</a:t>
          </a:r>
        </a:p>
        <a:p>
          <a:r>
            <a:rPr lang="en-US" sz="1100" baseline="0"/>
            <a:t>3. For a few compounds enthalpy of combustion values were not available through NIST, alternative sources were found and are detailed in the "lit data" sheet.</a:t>
          </a:r>
        </a:p>
        <a:p>
          <a:r>
            <a:rPr lang="en-US" sz="1100" baseline="0"/>
            <a:t>4. Though a few of the amino acids have sulfur, the general protein chemical formulas assume that the amount of sulfur is negligable.</a:t>
          </a:r>
        </a:p>
        <a:p>
          <a:r>
            <a:rPr lang="en-US" sz="1100" baseline="0"/>
            <a:t>5. If the database has no specific nutrient information regarding the carbohydrates, proteins, or fats within the food item, the workbook uses the following general formulas for the macronutrients (Yao, 2014):</a:t>
          </a:r>
        </a:p>
        <a:p>
          <a:r>
            <a:rPr lang="en-US" sz="1100" baseline="0"/>
            <a:t>	carbohydrate: 	CH</a:t>
          </a:r>
          <a:r>
            <a:rPr lang="en-US" sz="1100" baseline="-25000"/>
            <a:t>1.826</a:t>
          </a:r>
          <a:r>
            <a:rPr lang="en-US" sz="1100" baseline="0"/>
            <a:t>O</a:t>
          </a:r>
          <a:r>
            <a:rPr lang="en-US" sz="1100" baseline="-25000"/>
            <a:t>0.913</a:t>
          </a:r>
        </a:p>
        <a:p>
          <a:r>
            <a:rPr lang="en-US" sz="1100" baseline="0"/>
            <a:t>	protein: 	CH</a:t>
          </a:r>
          <a:r>
            <a:rPr lang="en-US" sz="1100" baseline="-25000"/>
            <a:t>2.063</a:t>
          </a:r>
          <a:r>
            <a:rPr lang="en-US" sz="1100" baseline="0"/>
            <a:t>O</a:t>
          </a:r>
          <a:r>
            <a:rPr lang="en-US" sz="1100" baseline="-25000"/>
            <a:t>0.626</a:t>
          </a:r>
          <a:r>
            <a:rPr lang="en-US" sz="1100" baseline="0"/>
            <a:t>N</a:t>
          </a:r>
          <a:r>
            <a:rPr lang="en-US" sz="1100" baseline="-25000"/>
            <a:t>0.282</a:t>
          </a:r>
        </a:p>
        <a:p>
          <a:r>
            <a:rPr lang="en-US" sz="1100" baseline="0"/>
            <a:t>	fat:	CH</a:t>
          </a:r>
          <a:r>
            <a:rPr lang="en-US" sz="1100" baseline="-25000"/>
            <a:t>1.838</a:t>
          </a:r>
          <a:r>
            <a:rPr lang="en-US" sz="1100" baseline="0"/>
            <a:t>O</a:t>
          </a:r>
          <a:r>
            <a:rPr lang="en-US" sz="1100" baseline="-25000"/>
            <a:t>0.118</a:t>
          </a:r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the database has no specific nutrient information regarding the carbohydrates, proteins, or fats within the food item, the workbook uses the following heats of combustion values for the macronutrients (</a:t>
          </a:r>
          <a:r>
            <a:rPr lang="en-US">
              <a:hlinkClick xmlns:r="http://schemas.openxmlformats.org/officeDocument/2006/relationships" r:id=""/>
            </a:rPr>
            <a:t>http://www.fao.org/3/aa040e/AA040E08.htm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carbohydrate: 	4.1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 baseline="300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protein: 	4.3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 baseline="300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fat:	9.3 kcal g-mac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endParaRPr lang="en-US">
            <a:effectLst/>
          </a:endParaRPr>
        </a:p>
      </xdr:txBody>
    </xdr:sp>
    <xdr:clientData/>
  </xdr:oneCellAnchor>
  <xdr:oneCellAnchor>
    <xdr:from>
      <xdr:col>0</xdr:col>
      <xdr:colOff>468923</xdr:colOff>
      <xdr:row>34</xdr:row>
      <xdr:rowOff>24423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68923" y="64086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428381</xdr:colOff>
      <xdr:row>36</xdr:row>
      <xdr:rowOff>124802</xdr:rowOff>
    </xdr:from>
    <xdr:ext cx="5181600" cy="2331279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28381" y="6735152"/>
          <a:ext cx="5181600" cy="2331279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/>
            <a:t>References: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Nutrient Data Laboratory (U.S.), &amp; Consumer and Food Economics Institute (U.S.).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(1999).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USDA nutrient database for standard reference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Riverdale, Md: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USDA, Nutrient Data Laboratory, Agricultural Research Service.</a:t>
          </a: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P.J. Linstrom and W.G. Mallard, Eds., </a:t>
          </a: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NIST Chemistry WebBook, NIST Standard</a:t>
          </a:r>
          <a:b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Reference Database Number 69, National Institute of Standards and</a:t>
          </a:r>
          <a:b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Technology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Gaithersburg MD, 20899,</a:t>
          </a:r>
          <a:b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https://doi.org/10.18434/T4D303, (retrieved June 20, 2019).</a:t>
          </a:r>
        </a:p>
        <a:p>
          <a:endParaRPr lang="en-US" sz="1100"/>
        </a:p>
        <a:p>
          <a:pPr indent="0" algn="l"/>
          <a:r>
            <a:rPr lang="en-US" sz="1100"/>
            <a:t>Yao, Y. (2014). </a:t>
          </a:r>
          <a:r>
            <a:rPr lang="en-US" sz="1100" i="1"/>
            <a:t>Use of Carbohydrate,</a:t>
          </a:r>
          <a:r>
            <a:rPr lang="en-US" sz="1100" i="1" baseline="0"/>
            <a:t> Protein and Fat to Characterise Wastewater in</a:t>
          </a:r>
          <a:br>
            <a:rPr lang="en-US" sz="1100" i="1" baseline="0"/>
          </a:br>
          <a:r>
            <a:rPr lang="en-US" sz="1100" i="1" baseline="0"/>
            <a:t>	Terms of its Major Elemental Constituents and Energy</a:t>
          </a:r>
          <a:r>
            <a:rPr lang="en-US" sz="1100" i="0" baseline="0"/>
            <a:t>. The University of</a:t>
          </a:r>
          <a:br>
            <a:rPr lang="en-US" sz="1100" i="0" baseline="0"/>
          </a:br>
          <a:r>
            <a:rPr lang="en-US" sz="1100" i="0" baseline="0"/>
            <a:t>	Manchester (UK), ProQuest Dissertations Publishing, 2014. 10805556.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11</xdr:row>
          <xdr:rowOff>152400</xdr:rowOff>
        </xdr:from>
        <xdr:to>
          <xdr:col>13</xdr:col>
          <xdr:colOff>200025</xdr:colOff>
          <xdr:row>16</xdr:row>
          <xdr:rowOff>28575</xdr:rowOff>
        </xdr:to>
        <xdr:sp macro="" textlink="">
          <xdr:nvSpPr>
            <xdr:cNvPr id="1025" name="Button 1" descr="RUN CALCULATO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ckendree.edu/academics/scholars/issue23/tara-stacey.pdf" TargetMode="External"/><Relationship Id="rId2" Type="http://schemas.openxmlformats.org/officeDocument/2006/relationships/hyperlink" Target="https://www.chemeo.com/cid/87-622-5/Arachidonic%20acid.pdf" TargetMode="External"/><Relationship Id="rId1" Type="http://schemas.openxmlformats.org/officeDocument/2006/relationships/hyperlink" Target="https://www.chemicalbook.com/ProductMSDSDetailCB1327034_EN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7B568-1AE2-4AE8-8EAA-CAA3BE00B2FD}">
  <sheetPr codeName="Sheet6"/>
  <dimension ref="A1:N7"/>
  <sheetViews>
    <sheetView showGridLines="0" zoomScaleNormal="100" workbookViewId="0">
      <selection activeCell="O31" sqref="O31"/>
    </sheetView>
  </sheetViews>
  <sheetFormatPr defaultRowHeight="15" x14ac:dyDescent="0.25"/>
  <sheetData>
    <row r="1" spans="1:14" ht="21" thickBot="1" x14ac:dyDescent="0.4">
      <c r="A1" s="36" t="s">
        <v>129</v>
      </c>
      <c r="B1" s="37"/>
      <c r="C1" s="37"/>
      <c r="D1" s="37"/>
      <c r="E1" s="37"/>
      <c r="F1" s="37"/>
      <c r="G1" s="37"/>
      <c r="H1" s="37"/>
      <c r="I1" s="37"/>
      <c r="J1" s="25"/>
    </row>
    <row r="4" spans="1:14" ht="15.75" thickBot="1" x14ac:dyDescent="0.3"/>
    <row r="5" spans="1:14" x14ac:dyDescent="0.25">
      <c r="K5" s="16"/>
      <c r="L5" s="17"/>
      <c r="M5" s="17"/>
      <c r="N5" s="18"/>
    </row>
    <row r="6" spans="1:14" ht="17.25" x14ac:dyDescent="0.3">
      <c r="K6" s="19"/>
      <c r="L6" s="20" t="s">
        <v>132</v>
      </c>
      <c r="M6" s="28">
        <v>746762</v>
      </c>
      <c r="N6" s="21"/>
    </row>
    <row r="7" spans="1:14" ht="15.75" thickBot="1" x14ac:dyDescent="0.3">
      <c r="K7" s="22"/>
      <c r="L7" s="23"/>
      <c r="M7" s="23"/>
      <c r="N7" s="24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_results" altText="RUN CALCULATOR">
                <anchor moveWithCells="1">
                  <from>
                    <xdr:col>10</xdr:col>
                    <xdr:colOff>257175</xdr:colOff>
                    <xdr:row>11</xdr:row>
                    <xdr:rowOff>152400</xdr:rowOff>
                  </from>
                  <to>
                    <xdr:col>13</xdr:col>
                    <xdr:colOff>200025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FB095-B571-4308-8842-C3260D8AA7AE}">
  <sheetPr codeName="Sheet5"/>
  <dimension ref="A1:K22"/>
  <sheetViews>
    <sheetView showGridLines="0" tabSelected="1" workbookViewId="0">
      <selection activeCell="H11" sqref="H11"/>
    </sheetView>
  </sheetViews>
  <sheetFormatPr defaultRowHeight="15" x14ac:dyDescent="0.25"/>
  <cols>
    <col min="1" max="1" width="32.140625" customWidth="1"/>
    <col min="2" max="2" width="13" bestFit="1" customWidth="1"/>
    <col min="6" max="6" width="18.7109375" bestFit="1" customWidth="1"/>
    <col min="7" max="7" width="15" bestFit="1" customWidth="1"/>
    <col min="8" max="8" width="21.140625" bestFit="1" customWidth="1"/>
    <col min="9" max="9" width="23" bestFit="1" customWidth="1"/>
    <col min="10" max="10" width="19.85546875" bestFit="1" customWidth="1"/>
    <col min="11" max="11" width="16.5703125" customWidth="1"/>
    <col min="12" max="12" width="16.28515625" bestFit="1" customWidth="1"/>
  </cols>
  <sheetData>
    <row r="1" spans="1:11" ht="21" thickBot="1" x14ac:dyDescent="0.4">
      <c r="A1" s="36" t="s">
        <v>128</v>
      </c>
      <c r="B1" s="37"/>
      <c r="C1" s="25"/>
    </row>
    <row r="2" spans="1:11" ht="19.5" thickBot="1" x14ac:dyDescent="0.35">
      <c r="A2" s="41" t="str">
        <f>directions!L6</f>
        <v>FOOD ID:</v>
      </c>
      <c r="B2" s="38">
        <f>FDC_ID</f>
        <v>746762</v>
      </c>
    </row>
    <row r="3" spans="1:11" ht="21" x14ac:dyDescent="0.3">
      <c r="A3" s="42" t="s">
        <v>144</v>
      </c>
      <c r="B3" s="39">
        <f>SUM(J18:J20)</f>
        <v>1.465497114111538</v>
      </c>
    </row>
    <row r="4" spans="1:11" ht="22.5" thickBot="1" x14ac:dyDescent="0.4">
      <c r="A4" s="43" t="s">
        <v>145</v>
      </c>
      <c r="B4" s="40">
        <f>SUM(K18:K20)</f>
        <v>5.1774651584845497</v>
      </c>
    </row>
    <row r="14" spans="1:11" ht="15.75" thickBot="1" x14ac:dyDescent="0.3"/>
    <row r="15" spans="1:11" ht="15.75" thickBot="1" x14ac:dyDescent="0.3">
      <c r="A15" s="52" t="s">
        <v>143</v>
      </c>
      <c r="B15" s="53"/>
      <c r="C15" s="53"/>
      <c r="D15" s="53"/>
      <c r="E15" s="53"/>
      <c r="F15" s="53"/>
      <c r="G15" s="53"/>
      <c r="H15" s="53"/>
      <c r="I15" s="53"/>
      <c r="J15" s="53"/>
      <c r="K15" s="54"/>
    </row>
    <row r="16" spans="1:11" ht="15.75" thickBot="1" x14ac:dyDescent="0.3">
      <c r="A16" s="56" t="s">
        <v>141</v>
      </c>
      <c r="B16" s="55" t="s">
        <v>101</v>
      </c>
      <c r="C16" s="53"/>
      <c r="D16" s="53"/>
      <c r="E16" s="54"/>
      <c r="F16" s="55" t="s">
        <v>142</v>
      </c>
      <c r="G16" s="54"/>
      <c r="H16" s="55" t="s">
        <v>140</v>
      </c>
      <c r="I16" s="54"/>
      <c r="J16" s="55" t="s">
        <v>106</v>
      </c>
      <c r="K16" s="54"/>
    </row>
    <row r="17" spans="1:11" ht="18.75" x14ac:dyDescent="0.35">
      <c r="A17" s="57"/>
      <c r="B17" s="29" t="s">
        <v>102</v>
      </c>
      <c r="C17" s="44" t="s">
        <v>103</v>
      </c>
      <c r="D17" s="44" t="s">
        <v>104</v>
      </c>
      <c r="E17" s="27" t="s">
        <v>105</v>
      </c>
      <c r="F17" s="11" t="s">
        <v>121</v>
      </c>
      <c r="G17" s="45" t="s">
        <v>126</v>
      </c>
      <c r="H17" s="48" t="s">
        <v>139</v>
      </c>
      <c r="I17" s="49" t="s">
        <v>138</v>
      </c>
      <c r="J17" s="11" t="s">
        <v>120</v>
      </c>
      <c r="K17" s="45" t="s">
        <v>127</v>
      </c>
    </row>
    <row r="18" spans="1:11" x14ac:dyDescent="0.25">
      <c r="A18" s="46" t="s">
        <v>4</v>
      </c>
      <c r="B18" s="29">
        <f>IFERROR(SUM('calc mol &amp; energy data'!E3:E10)/SUM('calc mol &amp; energy data'!E3:E10),1)</f>
        <v>1</v>
      </c>
      <c r="C18" s="12">
        <f>IFERROR(SUM('calc mol &amp; energy data'!F3:F10)/SUM('calc mol &amp; energy data'!E3:E10),1.826)</f>
        <v>1.8260000000000001</v>
      </c>
      <c r="D18" s="12">
        <f>IFERROR(SUM('calc mol &amp; energy data'!G3:G10)/SUM('calc mol &amp; energy data'!E3:E10),0.913)</f>
        <v>0.91300000000000003</v>
      </c>
      <c r="E18" s="27">
        <f>IFERROR(SUM('calc mol &amp; energy data'!H3:H10)/SUM('calc mol &amp; energy data'!E3:E10),0)</f>
        <v>0</v>
      </c>
      <c r="F18" s="32">
        <v>1.1254132376732082</v>
      </c>
      <c r="G18" s="13">
        <f>IFERROR(SUM('calc mol &amp; energy data'!J3:J10)*0.239, 4.1)</f>
        <v>4.0999999999999996</v>
      </c>
      <c r="H18">
        <v>0</v>
      </c>
      <c r="I18" s="13">
        <f>H18/SUM(H18:H20)</f>
        <v>0</v>
      </c>
      <c r="J18" s="32">
        <f>F18*I18</f>
        <v>0</v>
      </c>
      <c r="K18" s="13">
        <f>I18*G18</f>
        <v>0</v>
      </c>
    </row>
    <row r="19" spans="1:11" x14ac:dyDescent="0.25">
      <c r="A19" s="46" t="s">
        <v>2</v>
      </c>
      <c r="B19" s="29">
        <f>IFERROR(SUM('calc mol &amp; energy data'!E11:E30)/SUM('calc mol &amp; energy data'!E11:E30),1)</f>
        <v>1</v>
      </c>
      <c r="C19" s="12">
        <f>IFERROR(SUM('calc mol &amp; energy data'!F11:F30)/SUM('calc mol &amp; energy data'!E11:E30),2.063)</f>
        <v>2.0630000000000002</v>
      </c>
      <c r="D19" s="12">
        <f>IFERROR(SUM('calc mol &amp; energy data'!G11:G30)/SUM('calc mol &amp; energy data'!E11:E30),0.626)</f>
        <v>0.626</v>
      </c>
      <c r="E19" s="13">
        <f>IFERROR(SUM('calc mol &amp; energy data'!H11:H30)/SUM('calc mol &amp; energy data'!E11:E30),0.282)</f>
        <v>0.28199999999999997</v>
      </c>
      <c r="F19" s="32">
        <v>1.1317657972669213</v>
      </c>
      <c r="G19" s="13">
        <f>IFERROR(SUM('calc mol &amp; energy data'!J11:J30)*0.239,4.3)</f>
        <v>4.3</v>
      </c>
      <c r="H19">
        <v>22.7</v>
      </c>
      <c r="I19" s="13">
        <f>H19/SUM(H18:H20)</f>
        <v>0.81013561741613127</v>
      </c>
      <c r="J19" s="32">
        <f>F19*I19</f>
        <v>0.91688378293929729</v>
      </c>
      <c r="K19" s="13">
        <f>I19*G19</f>
        <v>3.4835831548893643</v>
      </c>
    </row>
    <row r="20" spans="1:11" x14ac:dyDescent="0.25">
      <c r="A20" s="46" t="s">
        <v>3</v>
      </c>
      <c r="B20" s="29">
        <f>IFERROR(SUM('calc mol &amp; energy data'!E31:E48)/SUM('calc mol &amp; energy data'!E31:E48),1)</f>
        <v>1</v>
      </c>
      <c r="C20" s="12">
        <f>IFERROR(SUM('calc mol &amp; energy data'!F31:F48)/SUM('calc mol &amp; energy data'!E31:E48),1.838)</f>
        <v>1.9208699576882218</v>
      </c>
      <c r="D20" s="12">
        <f>IFERROR(SUM('calc mol &amp; energy data'!G31:G48)/SUM('calc mol &amp; energy data'!E31:E48),0.118)</f>
        <v>0.11477358130131188</v>
      </c>
      <c r="E20" s="27">
        <f>IFERROR(SUM('calc mol &amp; energy data'!H31:H48)/SUM('calc mol &amp; energy data'!E31:E48),0)</f>
        <v>0</v>
      </c>
      <c r="F20" s="32">
        <v>2.8895010412492832</v>
      </c>
      <c r="G20" s="13">
        <f>IFERROR(SUM('calc mol &amp; energy data'!J31:J48)*0.239,9.3)</f>
        <v>8.9215364174317813</v>
      </c>
      <c r="H20">
        <v>5.32</v>
      </c>
      <c r="I20" s="13">
        <f>H20/SUM(H18:H20)</f>
        <v>0.18986438258386867</v>
      </c>
      <c r="J20" s="32">
        <f>I20*F20</f>
        <v>0.54861333117224076</v>
      </c>
      <c r="K20" s="13">
        <f>I20*G20</f>
        <v>1.6938820035951849</v>
      </c>
    </row>
    <row r="21" spans="1:11" ht="15.75" thickBot="1" x14ac:dyDescent="0.3">
      <c r="A21" s="47"/>
      <c r="B21" s="30"/>
      <c r="C21" s="33"/>
      <c r="D21" s="33"/>
      <c r="E21" s="31"/>
      <c r="F21" s="34"/>
      <c r="G21" s="35"/>
      <c r="H21" s="14"/>
      <c r="I21" s="35"/>
      <c r="J21" s="34"/>
      <c r="K21" s="35"/>
    </row>
    <row r="22" spans="1:1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</row>
  </sheetData>
  <mergeCells count="6">
    <mergeCell ref="A15:K15"/>
    <mergeCell ref="B16:E16"/>
    <mergeCell ref="F16:G16"/>
    <mergeCell ref="J16:K16"/>
    <mergeCell ref="A16:A17"/>
    <mergeCell ref="H16:I16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5CD9-613F-4E2A-9CA6-49FB502BEE36}">
  <sheetPr codeName="Sheet8"/>
  <dimension ref="A1:B72"/>
  <sheetViews>
    <sheetView workbookViewId="0">
      <selection activeCell="B8" sqref="B8"/>
    </sheetView>
  </sheetViews>
  <sheetFormatPr defaultRowHeight="15" x14ac:dyDescent="0.25"/>
  <cols>
    <col min="1" max="1" width="30.28515625" bestFit="1" customWidth="1"/>
  </cols>
  <sheetData>
    <row r="1" spans="1:2" x14ac:dyDescent="0.25">
      <c r="A1" t="s">
        <v>133</v>
      </c>
      <c r="B1">
        <v>746762</v>
      </c>
    </row>
    <row r="2" spans="1:2" x14ac:dyDescent="0.25">
      <c r="A2" t="s">
        <v>130</v>
      </c>
      <c r="B2" t="s">
        <v>131</v>
      </c>
    </row>
    <row r="3" spans="1:2" x14ac:dyDescent="0.25">
      <c r="A3" t="s">
        <v>146</v>
      </c>
    </row>
    <row r="4" spans="1:2" x14ac:dyDescent="0.25">
      <c r="A4" t="s">
        <v>147</v>
      </c>
      <c r="B4">
        <v>71.400000000000006</v>
      </c>
    </row>
    <row r="5" spans="1:2" x14ac:dyDescent="0.25">
      <c r="A5" t="s">
        <v>1</v>
      </c>
      <c r="B5">
        <v>145</v>
      </c>
    </row>
    <row r="6" spans="1:2" x14ac:dyDescent="0.25">
      <c r="A6" t="s">
        <v>1</v>
      </c>
      <c r="B6">
        <v>606</v>
      </c>
    </row>
    <row r="7" spans="1:2" x14ac:dyDescent="0.25">
      <c r="A7" t="s">
        <v>2</v>
      </c>
      <c r="B7">
        <v>22.7</v>
      </c>
    </row>
    <row r="8" spans="1:2" x14ac:dyDescent="0.25">
      <c r="A8" t="s">
        <v>3</v>
      </c>
      <c r="B8">
        <v>5.32</v>
      </c>
    </row>
    <row r="9" spans="1:2" x14ac:dyDescent="0.25">
      <c r="A9" t="s">
        <v>148</v>
      </c>
      <c r="B9">
        <v>4.5</v>
      </c>
    </row>
    <row r="10" spans="1:2" x14ac:dyDescent="0.25">
      <c r="A10" t="s">
        <v>149</v>
      </c>
      <c r="B10">
        <v>1.02</v>
      </c>
    </row>
    <row r="11" spans="1:2" x14ac:dyDescent="0.25">
      <c r="A11" t="s">
        <v>150</v>
      </c>
    </row>
    <row r="12" spans="1:2" x14ac:dyDescent="0.25">
      <c r="A12" t="s">
        <v>4</v>
      </c>
      <c r="B12">
        <v>0</v>
      </c>
    </row>
    <row r="13" spans="1:2" x14ac:dyDescent="0.25">
      <c r="A13" t="s">
        <v>151</v>
      </c>
    </row>
    <row r="14" spans="1:2" x14ac:dyDescent="0.25">
      <c r="A14" t="s">
        <v>6</v>
      </c>
      <c r="B14">
        <v>19</v>
      </c>
    </row>
    <row r="15" spans="1:2" x14ac:dyDescent="0.25">
      <c r="A15" t="s">
        <v>7</v>
      </c>
      <c r="B15">
        <v>2.2599999999999998</v>
      </c>
    </row>
    <row r="16" spans="1:2" x14ac:dyDescent="0.25">
      <c r="A16" t="s">
        <v>152</v>
      </c>
      <c r="B16">
        <v>10.7</v>
      </c>
    </row>
    <row r="17" spans="1:2" x14ac:dyDescent="0.25">
      <c r="A17" t="s">
        <v>153</v>
      </c>
      <c r="B17">
        <v>200</v>
      </c>
    </row>
    <row r="18" spans="1:2" x14ac:dyDescent="0.25">
      <c r="A18" t="s">
        <v>154</v>
      </c>
      <c r="B18">
        <v>266</v>
      </c>
    </row>
    <row r="19" spans="1:2" x14ac:dyDescent="0.25">
      <c r="A19" t="s">
        <v>8</v>
      </c>
      <c r="B19">
        <v>43</v>
      </c>
    </row>
    <row r="20" spans="1:2" x14ac:dyDescent="0.25">
      <c r="A20" t="s">
        <v>155</v>
      </c>
      <c r="B20">
        <v>3.52</v>
      </c>
    </row>
    <row r="21" spans="1:2" x14ac:dyDescent="0.25">
      <c r="A21" t="s">
        <v>156</v>
      </c>
      <c r="B21">
        <v>7.4999999999999997E-2</v>
      </c>
    </row>
    <row r="22" spans="1:2" x14ac:dyDescent="0.25">
      <c r="A22" t="s">
        <v>157</v>
      </c>
      <c r="B22">
        <v>3.0000000000000001E-3</v>
      </c>
    </row>
    <row r="23" spans="1:2" x14ac:dyDescent="0.25">
      <c r="A23" t="s">
        <v>158</v>
      </c>
      <c r="B23">
        <v>21.4</v>
      </c>
    </row>
    <row r="24" spans="1:2" x14ac:dyDescent="0.25">
      <c r="A24" t="s">
        <v>159</v>
      </c>
    </row>
    <row r="25" spans="1:2" x14ac:dyDescent="0.25">
      <c r="A25" t="s">
        <v>160</v>
      </c>
      <c r="B25">
        <v>0.23</v>
      </c>
    </row>
    <row r="26" spans="1:2" x14ac:dyDescent="0.25">
      <c r="A26" t="s">
        <v>161</v>
      </c>
      <c r="B26">
        <v>5.32</v>
      </c>
    </row>
    <row r="27" spans="1:2" x14ac:dyDescent="0.25">
      <c r="A27" t="s">
        <v>162</v>
      </c>
      <c r="B27">
        <v>0.751</v>
      </c>
    </row>
    <row r="28" spans="1:2" x14ac:dyDescent="0.25">
      <c r="A28" t="s">
        <v>163</v>
      </c>
      <c r="B28">
        <v>1.98</v>
      </c>
    </row>
    <row r="29" spans="1:2" x14ac:dyDescent="0.25">
      <c r="A29" t="s">
        <v>164</v>
      </c>
    </row>
    <row r="30" spans="1:2" x14ac:dyDescent="0.25">
      <c r="A30" t="s">
        <v>9</v>
      </c>
      <c r="B30">
        <v>2.0699999999999998</v>
      </c>
    </row>
    <row r="31" spans="1:2" x14ac:dyDescent="0.25">
      <c r="A31" s="50">
        <v>0.41666666666666669</v>
      </c>
      <c r="B31">
        <v>5.0000000000000001E-3</v>
      </c>
    </row>
    <row r="32" spans="1:2" x14ac:dyDescent="0.25">
      <c r="A32" s="50">
        <v>0.5</v>
      </c>
      <c r="B32">
        <v>5.0000000000000001E-3</v>
      </c>
    </row>
    <row r="33" spans="1:2" x14ac:dyDescent="0.25">
      <c r="A33" s="50">
        <v>0.58333333333333337</v>
      </c>
      <c r="B33">
        <v>0.14399999999999999</v>
      </c>
    </row>
    <row r="34" spans="1:2" x14ac:dyDescent="0.25">
      <c r="A34" s="50">
        <v>0.625</v>
      </c>
      <c r="B34">
        <v>2.8000000000000001E-2</v>
      </c>
    </row>
    <row r="35" spans="1:2" x14ac:dyDescent="0.25">
      <c r="A35" s="50">
        <v>0.66666666666666663</v>
      </c>
      <c r="B35">
        <v>1.18</v>
      </c>
    </row>
    <row r="36" spans="1:2" x14ac:dyDescent="0.25">
      <c r="A36" s="50">
        <v>0.70833333333333337</v>
      </c>
      <c r="B36">
        <v>6.2E-2</v>
      </c>
    </row>
    <row r="37" spans="1:2" x14ac:dyDescent="0.25">
      <c r="A37" s="50">
        <v>0.75</v>
      </c>
      <c r="B37">
        <v>0.64</v>
      </c>
    </row>
    <row r="38" spans="1:2" x14ac:dyDescent="0.25">
      <c r="A38" s="50">
        <v>0.83333333333333337</v>
      </c>
      <c r="B38">
        <v>3.0000000000000001E-3</v>
      </c>
    </row>
    <row r="39" spans="1:2" x14ac:dyDescent="0.25">
      <c r="A39" s="51">
        <v>1</v>
      </c>
      <c r="B39">
        <v>2E-3</v>
      </c>
    </row>
    <row r="40" spans="1:2" x14ac:dyDescent="0.25">
      <c r="A40" t="s">
        <v>165</v>
      </c>
      <c r="B40">
        <v>1.9</v>
      </c>
    </row>
    <row r="41" spans="1:2" x14ac:dyDescent="0.25">
      <c r="A41" t="s">
        <v>166</v>
      </c>
      <c r="B41">
        <v>3.3000000000000002E-2</v>
      </c>
    </row>
    <row r="42" spans="1:2" x14ac:dyDescent="0.25">
      <c r="A42" t="s">
        <v>167</v>
      </c>
      <c r="B42">
        <v>0.14499999999999999</v>
      </c>
    </row>
    <row r="43" spans="1:2" x14ac:dyDescent="0.25">
      <c r="A43" s="50">
        <v>0.7090277777777777</v>
      </c>
      <c r="B43">
        <v>4.2000000000000003E-2</v>
      </c>
    </row>
    <row r="44" spans="1:2" x14ac:dyDescent="0.25">
      <c r="A44" t="s">
        <v>168</v>
      </c>
      <c r="B44">
        <v>4.2000000000000003E-2</v>
      </c>
    </row>
    <row r="45" spans="1:2" x14ac:dyDescent="0.25">
      <c r="A45" t="s">
        <v>169</v>
      </c>
      <c r="B45">
        <v>1.67</v>
      </c>
    </row>
    <row r="46" spans="1:2" x14ac:dyDescent="0.25">
      <c r="A46" s="50">
        <v>0.8340277777777777</v>
      </c>
      <c r="B46">
        <v>8.0000000000000002E-3</v>
      </c>
    </row>
    <row r="47" spans="1:2" x14ac:dyDescent="0.25">
      <c r="A47" t="s">
        <v>170</v>
      </c>
      <c r="B47">
        <v>8.0000000000000002E-3</v>
      </c>
    </row>
    <row r="48" spans="1:2" x14ac:dyDescent="0.25">
      <c r="A48" t="s">
        <v>171</v>
      </c>
      <c r="B48">
        <v>0.25900000000000001</v>
      </c>
    </row>
    <row r="49" spans="1:2" x14ac:dyDescent="0.25">
      <c r="A49" t="s">
        <v>172</v>
      </c>
      <c r="B49">
        <v>0.192</v>
      </c>
    </row>
    <row r="50" spans="1:2" x14ac:dyDescent="0.25">
      <c r="A50" t="s">
        <v>173</v>
      </c>
      <c r="B50">
        <v>0.17799999999999999</v>
      </c>
    </row>
    <row r="51" spans="1:2" x14ac:dyDescent="0.25">
      <c r="A51" t="s">
        <v>174</v>
      </c>
      <c r="B51">
        <v>1.4E-2</v>
      </c>
    </row>
    <row r="52" spans="1:2" x14ac:dyDescent="0.25">
      <c r="A52" t="s">
        <v>175</v>
      </c>
      <c r="B52">
        <v>8.0000000000000002E-3</v>
      </c>
    </row>
    <row r="53" spans="1:2" x14ac:dyDescent="0.25">
      <c r="A53" t="s">
        <v>176</v>
      </c>
      <c r="B53">
        <v>8.0000000000000002E-3</v>
      </c>
    </row>
    <row r="54" spans="1:2" x14ac:dyDescent="0.25">
      <c r="A54" t="s">
        <v>177</v>
      </c>
      <c r="B54">
        <v>1E-3</v>
      </c>
    </row>
    <row r="55" spans="1:2" x14ac:dyDescent="0.25">
      <c r="A55" t="s">
        <v>178</v>
      </c>
      <c r="B55">
        <v>1E-3</v>
      </c>
    </row>
    <row r="56" spans="1:2" x14ac:dyDescent="0.25">
      <c r="A56" t="s">
        <v>179</v>
      </c>
      <c r="B56">
        <v>1.2999999999999999E-2</v>
      </c>
    </row>
    <row r="57" spans="1:2" x14ac:dyDescent="0.25">
      <c r="A57" t="s">
        <v>180</v>
      </c>
      <c r="B57">
        <v>1.2999999999999999E-2</v>
      </c>
    </row>
    <row r="58" spans="1:2" x14ac:dyDescent="0.25">
      <c r="A58" s="50">
        <v>0.83611111111111114</v>
      </c>
      <c r="B58">
        <v>3.4000000000000002E-2</v>
      </c>
    </row>
    <row r="59" spans="1:2" x14ac:dyDescent="0.25">
      <c r="A59" t="s">
        <v>181</v>
      </c>
      <c r="B59">
        <v>3.4000000000000002E-2</v>
      </c>
    </row>
    <row r="60" spans="1:2" x14ac:dyDescent="0.25">
      <c r="A60" t="s">
        <v>182</v>
      </c>
      <c r="B60">
        <v>2E-3</v>
      </c>
    </row>
    <row r="61" spans="1:2" x14ac:dyDescent="0.25">
      <c r="A61" t="s">
        <v>109</v>
      </c>
      <c r="B61">
        <v>2E-3</v>
      </c>
    </row>
    <row r="62" spans="1:2" x14ac:dyDescent="0.25">
      <c r="A62" t="s">
        <v>183</v>
      </c>
      <c r="B62">
        <v>8.0000000000000002E-3</v>
      </c>
    </row>
    <row r="63" spans="1:2" x14ac:dyDescent="0.25">
      <c r="A63" t="s">
        <v>110</v>
      </c>
      <c r="B63">
        <v>8.0000000000000002E-3</v>
      </c>
    </row>
    <row r="64" spans="1:2" x14ac:dyDescent="0.25">
      <c r="A64" t="s">
        <v>184</v>
      </c>
      <c r="B64">
        <v>1E-3</v>
      </c>
    </row>
    <row r="65" spans="1:2" x14ac:dyDescent="0.25">
      <c r="A65" t="s">
        <v>111</v>
      </c>
      <c r="B65">
        <v>1E-3</v>
      </c>
    </row>
    <row r="66" spans="1:2" x14ac:dyDescent="0.25">
      <c r="A66" t="s">
        <v>137</v>
      </c>
      <c r="B66">
        <v>0.28000000000000003</v>
      </c>
    </row>
    <row r="67" spans="1:2" x14ac:dyDescent="0.25">
      <c r="A67" t="s">
        <v>185</v>
      </c>
      <c r="B67">
        <v>0.25600000000000001</v>
      </c>
    </row>
    <row r="68" spans="1:2" x14ac:dyDescent="0.25">
      <c r="A68" t="s">
        <v>186</v>
      </c>
      <c r="B68">
        <v>1.2E-2</v>
      </c>
    </row>
    <row r="69" spans="1:2" x14ac:dyDescent="0.25">
      <c r="A69" t="s">
        <v>187</v>
      </c>
      <c r="B69">
        <v>0.24399999999999999</v>
      </c>
    </row>
    <row r="70" spans="1:2" x14ac:dyDescent="0.25">
      <c r="A70" t="s">
        <v>188</v>
      </c>
      <c r="B70">
        <v>2.4E-2</v>
      </c>
    </row>
    <row r="71" spans="1:2" x14ac:dyDescent="0.25">
      <c r="A71" t="s">
        <v>189</v>
      </c>
      <c r="B71">
        <v>2.4E-2</v>
      </c>
    </row>
    <row r="72" spans="1:2" x14ac:dyDescent="0.25">
      <c r="A72" t="s">
        <v>13</v>
      </c>
      <c r="B72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8B6F5-C5FB-445E-8BFB-726E48AF733E}">
  <sheetPr codeName="Sheet3"/>
  <dimension ref="A1:L50"/>
  <sheetViews>
    <sheetView workbookViewId="0">
      <selection activeCell="C31" sqref="C31"/>
    </sheetView>
  </sheetViews>
  <sheetFormatPr defaultRowHeight="15" x14ac:dyDescent="0.25"/>
  <cols>
    <col min="1" max="1" width="13" bestFit="1" customWidth="1"/>
    <col min="2" max="2" width="16.42578125" bestFit="1" customWidth="1"/>
    <col min="3" max="3" width="19.140625" bestFit="1" customWidth="1"/>
    <col min="9" max="9" width="12.5703125" bestFit="1" customWidth="1"/>
    <col min="10" max="10" width="11.5703125" bestFit="1" customWidth="1"/>
  </cols>
  <sheetData>
    <row r="1" spans="1:12" ht="18.75" x14ac:dyDescent="0.3">
      <c r="A1" s="7" t="s">
        <v>99</v>
      </c>
    </row>
    <row r="2" spans="1:12" ht="18.75" x14ac:dyDescent="0.35">
      <c r="A2" t="s">
        <v>40</v>
      </c>
      <c r="B2" t="s">
        <v>123</v>
      </c>
      <c r="C2" t="s">
        <v>122</v>
      </c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45</v>
      </c>
      <c r="J2" s="1" t="s">
        <v>41</v>
      </c>
      <c r="K2" s="1" t="s">
        <v>42</v>
      </c>
    </row>
    <row r="3" spans="1:12" x14ac:dyDescent="0.25">
      <c r="A3" s="58" t="s">
        <v>39</v>
      </c>
      <c r="B3" t="s">
        <v>33</v>
      </c>
      <c r="C3" t="s">
        <v>33</v>
      </c>
      <c r="D3">
        <v>12</v>
      </c>
      <c r="E3">
        <v>22</v>
      </c>
      <c r="F3">
        <v>11</v>
      </c>
      <c r="G3">
        <v>0</v>
      </c>
      <c r="H3">
        <v>0</v>
      </c>
      <c r="I3">
        <f>12*D3+1*E3+16*F3+14*G3+32*H3</f>
        <v>342</v>
      </c>
      <c r="J3">
        <v>5643.4</v>
      </c>
      <c r="K3" s="2" t="s">
        <v>69</v>
      </c>
    </row>
    <row r="4" spans="1:12" x14ac:dyDescent="0.25">
      <c r="A4" s="58"/>
      <c r="B4" t="s">
        <v>71</v>
      </c>
      <c r="C4" t="s">
        <v>71</v>
      </c>
      <c r="D4">
        <v>6</v>
      </c>
      <c r="E4">
        <v>12</v>
      </c>
      <c r="F4">
        <v>6</v>
      </c>
      <c r="G4">
        <v>0</v>
      </c>
      <c r="H4">
        <v>0</v>
      </c>
      <c r="I4">
        <f t="shared" ref="I4:I50" si="0">12*D4+1*E4+16*F4+14*G4+32*H4</f>
        <v>180</v>
      </c>
      <c r="J4">
        <v>2805</v>
      </c>
      <c r="K4" s="2" t="s">
        <v>70</v>
      </c>
    </row>
    <row r="5" spans="1:12" x14ac:dyDescent="0.25">
      <c r="A5" s="58"/>
      <c r="B5" t="s">
        <v>34</v>
      </c>
      <c r="C5" t="s">
        <v>34</v>
      </c>
      <c r="D5">
        <v>6</v>
      </c>
      <c r="E5">
        <v>12</v>
      </c>
      <c r="F5">
        <v>6</v>
      </c>
      <c r="G5">
        <v>0</v>
      </c>
      <c r="H5">
        <v>0</v>
      </c>
      <c r="I5">
        <f t="shared" si="0"/>
        <v>180</v>
      </c>
      <c r="J5">
        <v>2810.4</v>
      </c>
      <c r="K5" s="2" t="s">
        <v>72</v>
      </c>
    </row>
    <row r="6" spans="1:12" x14ac:dyDescent="0.25">
      <c r="A6" s="58"/>
      <c r="B6" t="s">
        <v>35</v>
      </c>
      <c r="C6" t="s">
        <v>35</v>
      </c>
      <c r="D6">
        <v>12</v>
      </c>
      <c r="E6">
        <v>22</v>
      </c>
      <c r="F6">
        <v>11</v>
      </c>
      <c r="G6">
        <v>0</v>
      </c>
      <c r="H6">
        <v>0</v>
      </c>
      <c r="I6">
        <f t="shared" si="0"/>
        <v>342</v>
      </c>
      <c r="J6">
        <v>5667.9</v>
      </c>
      <c r="K6" s="2" t="s">
        <v>72</v>
      </c>
    </row>
    <row r="7" spans="1:12" x14ac:dyDescent="0.25">
      <c r="A7" s="58"/>
      <c r="B7" t="s">
        <v>36</v>
      </c>
      <c r="C7" t="s">
        <v>36</v>
      </c>
      <c r="D7">
        <v>12</v>
      </c>
      <c r="E7">
        <v>22</v>
      </c>
      <c r="F7">
        <v>11</v>
      </c>
      <c r="G7">
        <v>0</v>
      </c>
      <c r="H7">
        <v>0</v>
      </c>
      <c r="I7">
        <f t="shared" si="0"/>
        <v>342</v>
      </c>
      <c r="J7">
        <v>5692.33</v>
      </c>
      <c r="K7" s="2" t="s">
        <v>72</v>
      </c>
    </row>
    <row r="8" spans="1:12" x14ac:dyDescent="0.25">
      <c r="A8" s="58"/>
      <c r="B8" t="s">
        <v>37</v>
      </c>
      <c r="C8" t="s">
        <v>37</v>
      </c>
      <c r="D8">
        <v>6</v>
      </c>
      <c r="E8">
        <v>12</v>
      </c>
      <c r="F8">
        <v>6</v>
      </c>
      <c r="G8">
        <v>0</v>
      </c>
      <c r="H8">
        <v>0</v>
      </c>
      <c r="I8">
        <f t="shared" si="0"/>
        <v>180</v>
      </c>
      <c r="J8">
        <v>2792</v>
      </c>
      <c r="K8" s="3" t="s">
        <v>73</v>
      </c>
    </row>
    <row r="9" spans="1:12" x14ac:dyDescent="0.25">
      <c r="A9" s="58"/>
      <c r="B9" t="s">
        <v>38</v>
      </c>
      <c r="C9" t="s">
        <v>38</v>
      </c>
      <c r="D9">
        <v>6</v>
      </c>
      <c r="E9">
        <v>10</v>
      </c>
      <c r="F9">
        <v>5</v>
      </c>
      <c r="G9">
        <v>0</v>
      </c>
      <c r="H9">
        <v>0</v>
      </c>
      <c r="I9">
        <f>12*D9+1*E9+16*F9+14*G9+32*H9</f>
        <v>162</v>
      </c>
      <c r="J9">
        <f>17.484*I9</f>
        <v>2832.4080000000004</v>
      </c>
      <c r="K9" s="4" t="s">
        <v>74</v>
      </c>
    </row>
    <row r="10" spans="1:12" x14ac:dyDescent="0.25">
      <c r="A10" s="58"/>
      <c r="B10" t="s">
        <v>136</v>
      </c>
      <c r="C10" t="s">
        <v>5</v>
      </c>
      <c r="D10">
        <v>6</v>
      </c>
      <c r="E10">
        <v>11</v>
      </c>
      <c r="F10">
        <v>5</v>
      </c>
      <c r="G10">
        <v>0</v>
      </c>
      <c r="H10">
        <v>0</v>
      </c>
      <c r="I10">
        <f>12*D10+1*E10+16*F10+14*G10+32*H10</f>
        <v>163</v>
      </c>
      <c r="J10">
        <v>2845.817</v>
      </c>
      <c r="K10" s="2" t="s">
        <v>135</v>
      </c>
      <c r="L10" s="3"/>
    </row>
    <row r="11" spans="1:12" x14ac:dyDescent="0.25">
      <c r="A11" s="58" t="s">
        <v>2</v>
      </c>
      <c r="B11" t="s">
        <v>26</v>
      </c>
      <c r="C11" t="s">
        <v>26</v>
      </c>
      <c r="D11">
        <v>3</v>
      </c>
      <c r="E11">
        <v>7</v>
      </c>
      <c r="F11">
        <v>2</v>
      </c>
      <c r="G11">
        <v>1</v>
      </c>
      <c r="H11">
        <v>0</v>
      </c>
      <c r="I11">
        <f t="shared" si="0"/>
        <v>89</v>
      </c>
      <c r="J11">
        <v>1621</v>
      </c>
      <c r="K11" s="2" t="s">
        <v>75</v>
      </c>
    </row>
    <row r="12" spans="1:12" x14ac:dyDescent="0.25">
      <c r="A12" s="58"/>
      <c r="B12" t="s">
        <v>24</v>
      </c>
      <c r="C12" t="s">
        <v>24</v>
      </c>
      <c r="D12">
        <v>6</v>
      </c>
      <c r="E12">
        <v>14</v>
      </c>
      <c r="F12">
        <v>2</v>
      </c>
      <c r="G12">
        <v>4</v>
      </c>
      <c r="H12">
        <v>0</v>
      </c>
      <c r="I12">
        <f t="shared" si="0"/>
        <v>174</v>
      </c>
      <c r="J12">
        <v>3738.3</v>
      </c>
      <c r="K12" s="5" t="s">
        <v>76</v>
      </c>
    </row>
    <row r="13" spans="1:12" x14ac:dyDescent="0.25">
      <c r="A13" s="58"/>
      <c r="B13" s="6" t="s">
        <v>43</v>
      </c>
      <c r="C13" s="6" t="s">
        <v>43</v>
      </c>
      <c r="D13">
        <v>5</v>
      </c>
      <c r="E13">
        <v>8</v>
      </c>
      <c r="F13">
        <v>3</v>
      </c>
      <c r="G13">
        <v>2</v>
      </c>
      <c r="H13">
        <v>0</v>
      </c>
      <c r="I13">
        <f t="shared" si="0"/>
        <v>144</v>
      </c>
      <c r="J13">
        <v>1928.5</v>
      </c>
      <c r="K13" s="2" t="s">
        <v>77</v>
      </c>
    </row>
    <row r="14" spans="1:12" x14ac:dyDescent="0.25">
      <c r="A14" s="58"/>
      <c r="B14" t="s">
        <v>27</v>
      </c>
      <c r="C14" t="s">
        <v>27</v>
      </c>
      <c r="D14">
        <v>4</v>
      </c>
      <c r="E14">
        <v>7</v>
      </c>
      <c r="F14">
        <v>4</v>
      </c>
      <c r="G14">
        <v>1</v>
      </c>
      <c r="H14">
        <v>0</v>
      </c>
      <c r="I14">
        <f t="shared" si="0"/>
        <v>133</v>
      </c>
      <c r="J14">
        <v>1601.1</v>
      </c>
      <c r="K14" s="2" t="s">
        <v>77</v>
      </c>
    </row>
    <row r="15" spans="1:12" x14ac:dyDescent="0.25">
      <c r="A15" s="58"/>
      <c r="B15" t="s">
        <v>20</v>
      </c>
      <c r="C15" t="s">
        <v>20</v>
      </c>
      <c r="D15">
        <v>3</v>
      </c>
      <c r="E15">
        <v>7</v>
      </c>
      <c r="F15">
        <v>2</v>
      </c>
      <c r="G15">
        <v>1</v>
      </c>
      <c r="H15">
        <v>1</v>
      </c>
      <c r="I15">
        <f t="shared" si="0"/>
        <v>121</v>
      </c>
      <c r="J15">
        <v>4248</v>
      </c>
      <c r="K15" s="4" t="s">
        <v>78</v>
      </c>
    </row>
    <row r="16" spans="1:12" x14ac:dyDescent="0.25">
      <c r="A16" s="58"/>
      <c r="B16" t="s">
        <v>44</v>
      </c>
      <c r="C16" t="s">
        <v>44</v>
      </c>
      <c r="D16">
        <v>5</v>
      </c>
      <c r="E16">
        <v>10</v>
      </c>
      <c r="F16">
        <v>3</v>
      </c>
      <c r="G16">
        <v>2</v>
      </c>
      <c r="H16">
        <v>0</v>
      </c>
      <c r="I16">
        <f t="shared" si="0"/>
        <v>146</v>
      </c>
      <c r="J16">
        <f>614.32*4.184</f>
        <v>2570.3148800000004</v>
      </c>
      <c r="K16" s="2" t="s">
        <v>79</v>
      </c>
    </row>
    <row r="17" spans="1:11" x14ac:dyDescent="0.25">
      <c r="A17" s="58"/>
      <c r="B17" t="s">
        <v>28</v>
      </c>
      <c r="C17" t="s">
        <v>28</v>
      </c>
      <c r="D17">
        <v>5</v>
      </c>
      <c r="E17">
        <v>9</v>
      </c>
      <c r="F17">
        <v>4</v>
      </c>
      <c r="G17">
        <v>1</v>
      </c>
      <c r="H17">
        <v>0</v>
      </c>
      <c r="I17">
        <f t="shared" si="0"/>
        <v>147</v>
      </c>
      <c r="J17">
        <v>2251.3200000000002</v>
      </c>
      <c r="K17" s="2" t="s">
        <v>80</v>
      </c>
    </row>
    <row r="18" spans="1:11" x14ac:dyDescent="0.25">
      <c r="A18" s="58"/>
      <c r="B18" t="s">
        <v>29</v>
      </c>
      <c r="C18" t="s">
        <v>29</v>
      </c>
      <c r="D18">
        <v>2</v>
      </c>
      <c r="E18">
        <v>5</v>
      </c>
      <c r="F18">
        <v>2</v>
      </c>
      <c r="G18">
        <v>1</v>
      </c>
      <c r="H18">
        <v>0</v>
      </c>
      <c r="I18">
        <f t="shared" si="0"/>
        <v>75</v>
      </c>
      <c r="J18">
        <v>974.1</v>
      </c>
      <c r="K18" s="2" t="s">
        <v>81</v>
      </c>
    </row>
    <row r="19" spans="1:11" x14ac:dyDescent="0.25">
      <c r="A19" s="58"/>
      <c r="B19" t="s">
        <v>25</v>
      </c>
      <c r="C19" t="s">
        <v>25</v>
      </c>
      <c r="D19">
        <v>6</v>
      </c>
      <c r="E19">
        <v>9</v>
      </c>
      <c r="F19">
        <v>2</v>
      </c>
      <c r="G19">
        <v>3</v>
      </c>
      <c r="H19">
        <v>0</v>
      </c>
      <c r="I19">
        <f t="shared" si="0"/>
        <v>155</v>
      </c>
      <c r="J19">
        <f>766.13*4.184</f>
        <v>3205.48792</v>
      </c>
      <c r="K19" s="2" t="s">
        <v>82</v>
      </c>
    </row>
    <row r="20" spans="1:11" x14ac:dyDescent="0.25">
      <c r="A20" s="58"/>
      <c r="B20" t="s">
        <v>16</v>
      </c>
      <c r="C20" t="s">
        <v>16</v>
      </c>
      <c r="D20">
        <v>6</v>
      </c>
      <c r="E20">
        <v>13</v>
      </c>
      <c r="F20">
        <v>2</v>
      </c>
      <c r="G20">
        <v>1</v>
      </c>
      <c r="H20">
        <v>0</v>
      </c>
      <c r="I20">
        <f t="shared" si="0"/>
        <v>131</v>
      </c>
      <c r="J20">
        <f>855.24*4.184</f>
        <v>3578.3241600000001</v>
      </c>
      <c r="K20" s="2" t="s">
        <v>83</v>
      </c>
    </row>
    <row r="21" spans="1:11" x14ac:dyDescent="0.25">
      <c r="A21" s="58"/>
      <c r="B21" t="s">
        <v>17</v>
      </c>
      <c r="C21" t="s">
        <v>17</v>
      </c>
      <c r="D21">
        <v>6</v>
      </c>
      <c r="E21">
        <v>13</v>
      </c>
      <c r="F21">
        <v>2</v>
      </c>
      <c r="G21">
        <v>1</v>
      </c>
      <c r="H21">
        <v>0</v>
      </c>
      <c r="I21">
        <f t="shared" si="0"/>
        <v>131</v>
      </c>
      <c r="J21">
        <v>3572</v>
      </c>
      <c r="K21" s="2" t="s">
        <v>79</v>
      </c>
    </row>
    <row r="22" spans="1:11" x14ac:dyDescent="0.25">
      <c r="A22" s="58"/>
      <c r="B22" t="s">
        <v>18</v>
      </c>
      <c r="C22" t="s">
        <v>18</v>
      </c>
      <c r="D22">
        <v>6</v>
      </c>
      <c r="E22">
        <v>14</v>
      </c>
      <c r="F22">
        <v>2</v>
      </c>
      <c r="G22">
        <v>2</v>
      </c>
      <c r="H22">
        <v>0</v>
      </c>
      <c r="I22">
        <f t="shared" si="0"/>
        <v>146</v>
      </c>
      <c r="J22">
        <v>3683.2</v>
      </c>
      <c r="K22" s="2" t="s">
        <v>81</v>
      </c>
    </row>
    <row r="23" spans="1:11" x14ac:dyDescent="0.25">
      <c r="A23" s="58"/>
      <c r="B23" t="s">
        <v>19</v>
      </c>
      <c r="C23" t="s">
        <v>19</v>
      </c>
      <c r="D23">
        <v>5</v>
      </c>
      <c r="E23">
        <v>11</v>
      </c>
      <c r="F23">
        <v>2</v>
      </c>
      <c r="G23">
        <v>1</v>
      </c>
      <c r="H23">
        <v>1</v>
      </c>
      <c r="I23">
        <f t="shared" si="0"/>
        <v>149</v>
      </c>
      <c r="J23">
        <v>3564.11</v>
      </c>
      <c r="K23" s="2" t="s">
        <v>84</v>
      </c>
    </row>
    <row r="24" spans="1:11" x14ac:dyDescent="0.25">
      <c r="A24" s="58"/>
      <c r="B24" t="s">
        <v>21</v>
      </c>
      <c r="C24" t="s">
        <v>21</v>
      </c>
      <c r="D24">
        <v>9</v>
      </c>
      <c r="E24">
        <v>11</v>
      </c>
      <c r="F24">
        <v>2</v>
      </c>
      <c r="G24">
        <v>1</v>
      </c>
      <c r="H24">
        <v>0</v>
      </c>
      <c r="I24">
        <f t="shared" si="0"/>
        <v>165</v>
      </c>
      <c r="J24">
        <v>4646.3</v>
      </c>
      <c r="K24" s="2" t="s">
        <v>85</v>
      </c>
    </row>
    <row r="25" spans="1:11" x14ac:dyDescent="0.25">
      <c r="A25" s="58"/>
      <c r="B25" t="s">
        <v>30</v>
      </c>
      <c r="C25" t="s">
        <v>30</v>
      </c>
      <c r="D25">
        <v>5</v>
      </c>
      <c r="E25">
        <v>9</v>
      </c>
      <c r="F25">
        <v>2</v>
      </c>
      <c r="G25">
        <v>1</v>
      </c>
      <c r="H25">
        <v>0</v>
      </c>
      <c r="I25">
        <f t="shared" si="0"/>
        <v>115</v>
      </c>
      <c r="J25">
        <f>656.36*4.184</f>
        <v>2746.2102400000003</v>
      </c>
      <c r="K25" s="2" t="s">
        <v>86</v>
      </c>
    </row>
    <row r="26" spans="1:11" x14ac:dyDescent="0.25">
      <c r="A26" s="58"/>
      <c r="B26" t="s">
        <v>31</v>
      </c>
      <c r="C26" t="s">
        <v>31</v>
      </c>
      <c r="D26">
        <v>3</v>
      </c>
      <c r="E26">
        <v>7</v>
      </c>
      <c r="F26">
        <v>3</v>
      </c>
      <c r="G26">
        <v>1</v>
      </c>
      <c r="H26">
        <v>0</v>
      </c>
      <c r="I26">
        <f t="shared" si="0"/>
        <v>105</v>
      </c>
      <c r="J26">
        <v>1448.21</v>
      </c>
      <c r="K26" s="2" t="s">
        <v>87</v>
      </c>
    </row>
    <row r="27" spans="1:11" x14ac:dyDescent="0.25">
      <c r="A27" s="58"/>
      <c r="B27" t="s">
        <v>15</v>
      </c>
      <c r="C27" t="s">
        <v>15</v>
      </c>
      <c r="D27">
        <v>4</v>
      </c>
      <c r="E27">
        <v>9</v>
      </c>
      <c r="F27">
        <v>3</v>
      </c>
      <c r="G27">
        <v>1</v>
      </c>
      <c r="H27">
        <v>0</v>
      </c>
      <c r="I27">
        <f t="shared" si="0"/>
        <v>119</v>
      </c>
      <c r="J27">
        <f>498.23*4.184</f>
        <v>2084.5943200000002</v>
      </c>
      <c r="K27" s="2" t="s">
        <v>88</v>
      </c>
    </row>
    <row r="28" spans="1:11" x14ac:dyDescent="0.25">
      <c r="A28" s="58"/>
      <c r="B28" t="s">
        <v>14</v>
      </c>
      <c r="C28" t="s">
        <v>14</v>
      </c>
      <c r="D28">
        <v>11</v>
      </c>
      <c r="E28">
        <v>12</v>
      </c>
      <c r="F28">
        <v>2</v>
      </c>
      <c r="G28">
        <v>2</v>
      </c>
      <c r="H28">
        <v>0</v>
      </c>
      <c r="I28">
        <f t="shared" si="0"/>
        <v>204</v>
      </c>
      <c r="J28">
        <v>5628.32</v>
      </c>
      <c r="K28" s="2" t="s">
        <v>85</v>
      </c>
    </row>
    <row r="29" spans="1:11" x14ac:dyDescent="0.25">
      <c r="A29" s="58"/>
      <c r="B29" t="s">
        <v>22</v>
      </c>
      <c r="C29" t="s">
        <v>22</v>
      </c>
      <c r="D29">
        <v>9</v>
      </c>
      <c r="E29">
        <v>11</v>
      </c>
      <c r="F29">
        <v>3</v>
      </c>
      <c r="G29">
        <v>1</v>
      </c>
      <c r="H29">
        <v>0</v>
      </c>
      <c r="I29">
        <f t="shared" si="0"/>
        <v>181</v>
      </c>
      <c r="J29">
        <v>4428.1000000000004</v>
      </c>
      <c r="K29" s="2" t="s">
        <v>76</v>
      </c>
    </row>
    <row r="30" spans="1:11" x14ac:dyDescent="0.25">
      <c r="A30" s="58"/>
      <c r="B30" t="s">
        <v>23</v>
      </c>
      <c r="C30" t="s">
        <v>23</v>
      </c>
      <c r="D30">
        <v>5</v>
      </c>
      <c r="E30">
        <v>11</v>
      </c>
      <c r="F30">
        <v>2</v>
      </c>
      <c r="G30">
        <v>1</v>
      </c>
      <c r="H30">
        <v>0</v>
      </c>
      <c r="I30">
        <f t="shared" si="0"/>
        <v>117</v>
      </c>
      <c r="J30">
        <v>2910.7</v>
      </c>
      <c r="K30" s="2" t="s">
        <v>81</v>
      </c>
    </row>
    <row r="31" spans="1:11" x14ac:dyDescent="0.25">
      <c r="A31" s="58" t="s">
        <v>134</v>
      </c>
      <c r="B31" t="s">
        <v>51</v>
      </c>
      <c r="C31" s="26">
        <v>0.16666666666666666</v>
      </c>
      <c r="D31">
        <v>5</v>
      </c>
      <c r="E31">
        <v>8.6669999999999998</v>
      </c>
      <c r="F31">
        <v>2</v>
      </c>
      <c r="G31">
        <v>0</v>
      </c>
      <c r="H31">
        <v>0</v>
      </c>
      <c r="I31">
        <f t="shared" si="0"/>
        <v>100.667</v>
      </c>
      <c r="J31">
        <v>2183.5</v>
      </c>
      <c r="K31" s="4" t="s">
        <v>89</v>
      </c>
    </row>
    <row r="32" spans="1:11" x14ac:dyDescent="0.25">
      <c r="A32" s="58"/>
      <c r="B32" t="s">
        <v>52</v>
      </c>
      <c r="C32" s="26">
        <v>0.25</v>
      </c>
      <c r="D32">
        <v>7</v>
      </c>
      <c r="E32">
        <v>12.667</v>
      </c>
      <c r="F32">
        <v>2</v>
      </c>
      <c r="G32">
        <v>0</v>
      </c>
      <c r="H32">
        <v>0</v>
      </c>
      <c r="I32">
        <f t="shared" si="0"/>
        <v>128.667</v>
      </c>
      <c r="J32">
        <v>3494.29</v>
      </c>
      <c r="K32" s="2" t="s">
        <v>90</v>
      </c>
    </row>
    <row r="33" spans="1:11" x14ac:dyDescent="0.25">
      <c r="A33" s="58"/>
      <c r="B33" t="s">
        <v>53</v>
      </c>
      <c r="C33" s="26">
        <v>0.33333333333333331</v>
      </c>
      <c r="D33">
        <v>9</v>
      </c>
      <c r="E33">
        <v>16.667000000000002</v>
      </c>
      <c r="F33">
        <v>2</v>
      </c>
      <c r="G33">
        <v>0</v>
      </c>
      <c r="H33">
        <v>0</v>
      </c>
      <c r="I33">
        <f t="shared" si="0"/>
        <v>156.667</v>
      </c>
      <c r="J33">
        <v>4799.8999999999996</v>
      </c>
      <c r="K33" s="2" t="s">
        <v>91</v>
      </c>
    </row>
    <row r="34" spans="1:11" x14ac:dyDescent="0.25">
      <c r="A34" s="58"/>
      <c r="B34" t="s">
        <v>54</v>
      </c>
      <c r="C34" s="26">
        <v>0.41666666666666669</v>
      </c>
      <c r="D34">
        <v>11</v>
      </c>
      <c r="E34">
        <v>20.667000000000002</v>
      </c>
      <c r="F34">
        <v>2</v>
      </c>
      <c r="G34">
        <v>0</v>
      </c>
      <c r="H34">
        <v>0</v>
      </c>
      <c r="I34">
        <f t="shared" si="0"/>
        <v>184.667</v>
      </c>
      <c r="J34">
        <v>6079.3</v>
      </c>
      <c r="K34" s="2" t="s">
        <v>91</v>
      </c>
    </row>
    <row r="35" spans="1:11" x14ac:dyDescent="0.25">
      <c r="A35" s="58"/>
      <c r="B35" t="s">
        <v>55</v>
      </c>
      <c r="C35" s="26">
        <v>0.5</v>
      </c>
      <c r="D35">
        <v>13</v>
      </c>
      <c r="E35">
        <v>24.667000000000002</v>
      </c>
      <c r="F35">
        <v>2</v>
      </c>
      <c r="G35">
        <v>0</v>
      </c>
      <c r="H35">
        <v>0</v>
      </c>
      <c r="I35">
        <f t="shared" si="0"/>
        <v>212.667</v>
      </c>
      <c r="J35">
        <v>7377</v>
      </c>
      <c r="K35" s="2" t="s">
        <v>91</v>
      </c>
    </row>
    <row r="36" spans="1:11" x14ac:dyDescent="0.25">
      <c r="A36" s="58"/>
      <c r="B36" t="s">
        <v>56</v>
      </c>
      <c r="C36" s="26">
        <v>0.58333333333333337</v>
      </c>
      <c r="D36">
        <v>15</v>
      </c>
      <c r="E36">
        <v>28.667000000000002</v>
      </c>
      <c r="F36">
        <v>2</v>
      </c>
      <c r="G36">
        <v>0</v>
      </c>
      <c r="H36">
        <v>0</v>
      </c>
      <c r="I36">
        <f t="shared" si="0"/>
        <v>240.667</v>
      </c>
      <c r="J36">
        <v>8676.7000000000007</v>
      </c>
      <c r="K36" s="2" t="s">
        <v>91</v>
      </c>
    </row>
    <row r="37" spans="1:11" x14ac:dyDescent="0.25">
      <c r="A37" s="58"/>
      <c r="B37" t="s">
        <v>57</v>
      </c>
      <c r="C37" s="26">
        <v>0.66666666666666663</v>
      </c>
      <c r="D37">
        <v>17</v>
      </c>
      <c r="E37">
        <v>32.667000000000002</v>
      </c>
      <c r="F37">
        <v>2</v>
      </c>
      <c r="G37">
        <v>0</v>
      </c>
      <c r="H37">
        <v>0</v>
      </c>
      <c r="I37">
        <f t="shared" si="0"/>
        <v>268.66700000000003</v>
      </c>
      <c r="J37">
        <v>9977.2000000000007</v>
      </c>
      <c r="K37" s="2" t="s">
        <v>91</v>
      </c>
    </row>
    <row r="38" spans="1:11" x14ac:dyDescent="0.25">
      <c r="A38" s="58"/>
      <c r="B38" t="s">
        <v>58</v>
      </c>
      <c r="C38" s="26">
        <v>0.75</v>
      </c>
      <c r="D38">
        <v>19</v>
      </c>
      <c r="E38">
        <v>36.667000000000002</v>
      </c>
      <c r="F38">
        <v>2</v>
      </c>
      <c r="G38">
        <v>0</v>
      </c>
      <c r="H38">
        <v>0</v>
      </c>
      <c r="I38">
        <f t="shared" si="0"/>
        <v>296.66700000000003</v>
      </c>
      <c r="J38">
        <v>11280.1</v>
      </c>
      <c r="K38" s="2" t="s">
        <v>91</v>
      </c>
    </row>
    <row r="39" spans="1:11" x14ac:dyDescent="0.25">
      <c r="A39" s="58"/>
      <c r="B39" t="s">
        <v>59</v>
      </c>
      <c r="C39" s="26">
        <v>0.83333333333333337</v>
      </c>
      <c r="D39">
        <v>21</v>
      </c>
      <c r="E39">
        <v>40.667000000000002</v>
      </c>
      <c r="F39">
        <v>2</v>
      </c>
      <c r="G39">
        <v>0</v>
      </c>
      <c r="H39">
        <v>0</v>
      </c>
      <c r="I39">
        <f t="shared" si="0"/>
        <v>324.66700000000003</v>
      </c>
      <c r="J39">
        <v>12574.2</v>
      </c>
      <c r="K39" s="2" t="s">
        <v>91</v>
      </c>
    </row>
    <row r="40" spans="1:11" x14ac:dyDescent="0.25">
      <c r="A40" s="58"/>
      <c r="B40" t="s">
        <v>60</v>
      </c>
      <c r="C40" s="26">
        <v>0.91666666666666663</v>
      </c>
      <c r="D40">
        <v>23</v>
      </c>
      <c r="E40">
        <v>44.667000000000002</v>
      </c>
      <c r="F40">
        <v>2</v>
      </c>
      <c r="G40">
        <v>0</v>
      </c>
      <c r="H40">
        <v>0</v>
      </c>
      <c r="I40">
        <f t="shared" si="0"/>
        <v>352.66700000000003</v>
      </c>
      <c r="J40">
        <v>14565</v>
      </c>
      <c r="K40" s="2" t="s">
        <v>92</v>
      </c>
    </row>
    <row r="41" spans="1:11" x14ac:dyDescent="0.25">
      <c r="A41" s="58"/>
      <c r="B41" t="s">
        <v>61</v>
      </c>
      <c r="C41" t="s">
        <v>107</v>
      </c>
      <c r="D41">
        <v>17</v>
      </c>
      <c r="E41">
        <v>30.667000000000002</v>
      </c>
      <c r="F41">
        <v>2</v>
      </c>
      <c r="G41">
        <v>0</v>
      </c>
      <c r="H41">
        <v>0</v>
      </c>
      <c r="I41">
        <f t="shared" si="0"/>
        <v>266.66700000000003</v>
      </c>
      <c r="J41">
        <f>-(-15*J49 - 16*J50 + 713.4)</f>
        <v>9210.15</v>
      </c>
      <c r="K41" s="2" t="s">
        <v>93</v>
      </c>
    </row>
    <row r="42" spans="1:11" x14ac:dyDescent="0.25">
      <c r="A42" s="58"/>
      <c r="B42" t="s">
        <v>62</v>
      </c>
      <c r="C42" t="s">
        <v>10</v>
      </c>
      <c r="D42">
        <v>19</v>
      </c>
      <c r="E42">
        <v>34.667000000000002</v>
      </c>
      <c r="F42">
        <v>2</v>
      </c>
      <c r="G42">
        <v>0</v>
      </c>
      <c r="H42">
        <v>0</v>
      </c>
      <c r="I42">
        <f t="shared" si="0"/>
        <v>294.66700000000003</v>
      </c>
      <c r="J42">
        <v>11160</v>
      </c>
      <c r="K42" s="4" t="s">
        <v>97</v>
      </c>
    </row>
    <row r="43" spans="1:11" x14ac:dyDescent="0.25">
      <c r="A43" s="58"/>
      <c r="B43" t="s">
        <v>63</v>
      </c>
      <c r="C43" t="s">
        <v>11</v>
      </c>
      <c r="D43">
        <v>19</v>
      </c>
      <c r="E43">
        <v>32.667000000000002</v>
      </c>
      <c r="F43">
        <v>2</v>
      </c>
      <c r="G43">
        <v>0</v>
      </c>
      <c r="H43">
        <v>0</v>
      </c>
      <c r="I43">
        <f t="shared" si="0"/>
        <v>292.66700000000003</v>
      </c>
      <c r="J43">
        <f>-(-18*J50 - 16*J49 + 634.7)</f>
        <v>10317.696</v>
      </c>
      <c r="K43" s="2" t="s">
        <v>93</v>
      </c>
    </row>
    <row r="44" spans="1:11" x14ac:dyDescent="0.25">
      <c r="A44" s="58"/>
      <c r="B44" t="s">
        <v>64</v>
      </c>
      <c r="C44" t="s">
        <v>12</v>
      </c>
      <c r="D44">
        <v>19</v>
      </c>
      <c r="E44">
        <v>20.667000000000002</v>
      </c>
      <c r="F44">
        <v>2</v>
      </c>
      <c r="G44">
        <v>0</v>
      </c>
      <c r="H44">
        <v>0</v>
      </c>
      <c r="I44">
        <f t="shared" si="0"/>
        <v>280.66700000000003</v>
      </c>
      <c r="J44">
        <f>-(-18*J50 - 15*J49 + 508.8)</f>
        <v>10201.77</v>
      </c>
      <c r="K44" s="2" t="s">
        <v>93</v>
      </c>
    </row>
    <row r="45" spans="1:11" x14ac:dyDescent="0.25">
      <c r="A45" s="58"/>
      <c r="B45" t="s">
        <v>65</v>
      </c>
      <c r="C45" t="s">
        <v>108</v>
      </c>
      <c r="D45">
        <v>21</v>
      </c>
      <c r="E45">
        <v>32.667000000000002</v>
      </c>
      <c r="F45">
        <v>2</v>
      </c>
      <c r="G45">
        <v>0</v>
      </c>
      <c r="H45">
        <v>0</v>
      </c>
      <c r="I45">
        <f t="shared" si="0"/>
        <v>316.66700000000003</v>
      </c>
      <c r="J45">
        <f>-(-20*J50 - 16*J49 + (252.06 + 83.37))</f>
        <v>11403.985999999999</v>
      </c>
      <c r="K45" s="3" t="s">
        <v>98</v>
      </c>
    </row>
    <row r="46" spans="1:11" x14ac:dyDescent="0.25">
      <c r="A46" s="58"/>
      <c r="B46" t="s">
        <v>66</v>
      </c>
      <c r="C46" t="s">
        <v>109</v>
      </c>
      <c r="D46">
        <v>21</v>
      </c>
      <c r="E46">
        <v>30.667000000000002</v>
      </c>
      <c r="F46">
        <v>2</v>
      </c>
      <c r="G46">
        <v>0</v>
      </c>
      <c r="H46">
        <v>0</v>
      </c>
      <c r="I46">
        <f t="shared" si="0"/>
        <v>314.66700000000003</v>
      </c>
      <c r="J46">
        <f>J48/I48*I46</f>
        <v>11684.74427150267</v>
      </c>
      <c r="K46" s="15" t="s">
        <v>125</v>
      </c>
    </row>
    <row r="47" spans="1:11" x14ac:dyDescent="0.25">
      <c r="A47" s="58"/>
      <c r="B47" t="s">
        <v>67</v>
      </c>
      <c r="C47" t="s">
        <v>110</v>
      </c>
      <c r="D47">
        <v>23</v>
      </c>
      <c r="E47">
        <v>34.667000000000002</v>
      </c>
      <c r="F47">
        <v>2</v>
      </c>
      <c r="G47">
        <v>0</v>
      </c>
      <c r="H47">
        <v>0</v>
      </c>
      <c r="I47">
        <f t="shared" si="0"/>
        <v>342.66700000000003</v>
      </c>
      <c r="J47">
        <f>J48/I48*I47</f>
        <v>12724.487363730565</v>
      </c>
      <c r="K47" s="4" t="s">
        <v>125</v>
      </c>
    </row>
    <row r="48" spans="1:11" x14ac:dyDescent="0.25">
      <c r="A48" s="58"/>
      <c r="B48" t="s">
        <v>68</v>
      </c>
      <c r="C48" t="s">
        <v>111</v>
      </c>
      <c r="D48">
        <v>23</v>
      </c>
      <c r="E48">
        <v>32.667000000000002</v>
      </c>
      <c r="F48">
        <v>2</v>
      </c>
      <c r="G48">
        <v>0</v>
      </c>
      <c r="H48">
        <v>0</v>
      </c>
      <c r="I48">
        <f t="shared" si="0"/>
        <v>340.66700000000003</v>
      </c>
      <c r="J48">
        <f>38.334*330</f>
        <v>12650.220000000001</v>
      </c>
      <c r="K48" s="3" t="s">
        <v>124</v>
      </c>
    </row>
    <row r="49" spans="1:11" x14ac:dyDescent="0.25">
      <c r="A49" s="58" t="s">
        <v>32</v>
      </c>
      <c r="B49" t="s">
        <v>94</v>
      </c>
      <c r="C49" t="s">
        <v>94</v>
      </c>
      <c r="D49">
        <v>0</v>
      </c>
      <c r="E49">
        <v>2</v>
      </c>
      <c r="F49">
        <v>1</v>
      </c>
      <c r="G49">
        <v>0</v>
      </c>
      <c r="H49">
        <v>0</v>
      </c>
      <c r="I49">
        <f t="shared" si="0"/>
        <v>18</v>
      </c>
      <c r="J49">
        <v>241.82599999999999</v>
      </c>
      <c r="K49" s="5" t="s">
        <v>96</v>
      </c>
    </row>
    <row r="50" spans="1:11" x14ac:dyDescent="0.25">
      <c r="A50" s="58"/>
      <c r="B50" t="s">
        <v>95</v>
      </c>
      <c r="C50" t="s">
        <v>95</v>
      </c>
      <c r="D50">
        <v>1</v>
      </c>
      <c r="E50">
        <v>0</v>
      </c>
      <c r="F50">
        <v>2</v>
      </c>
      <c r="G50">
        <v>0</v>
      </c>
      <c r="H50">
        <v>0</v>
      </c>
      <c r="I50">
        <f t="shared" si="0"/>
        <v>44</v>
      </c>
      <c r="J50">
        <v>393.51</v>
      </c>
      <c r="K50" s="2" t="s">
        <v>96</v>
      </c>
    </row>
  </sheetData>
  <mergeCells count="4">
    <mergeCell ref="A3:A10"/>
    <mergeCell ref="A11:A30"/>
    <mergeCell ref="A31:A48"/>
    <mergeCell ref="A49:A50"/>
  </mergeCells>
  <hyperlinks>
    <hyperlink ref="K8" r:id="rId1" xr:uid="{8AF50004-B907-4690-B850-A070091E1B34}"/>
    <hyperlink ref="K45" r:id="rId2" display="https://www.chemeo.com/cid/87-622-5/Arachidonic acid.pdf" xr:uid="{AD402DBD-8A28-4BC2-9C20-7076C41AB78B}"/>
    <hyperlink ref="K48" r:id="rId3" xr:uid="{82E733EC-9CB9-4B71-A5B3-FD036E60DBA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BC578-CF96-4DD9-A6A7-7C3AC365C072}">
  <sheetPr codeName="Sheet4"/>
  <dimension ref="A1:J48"/>
  <sheetViews>
    <sheetView topLeftCell="A19" workbookViewId="0">
      <selection activeCell="C48" sqref="C48"/>
    </sheetView>
  </sheetViews>
  <sheetFormatPr defaultRowHeight="15" x14ac:dyDescent="0.25"/>
  <cols>
    <col min="1" max="1" width="13" bestFit="1" customWidth="1"/>
    <col min="2" max="2" width="19.140625" bestFit="1" customWidth="1"/>
    <col min="3" max="3" width="13.140625" bestFit="1" customWidth="1"/>
    <col min="4" max="4" width="15.42578125" bestFit="1" customWidth="1"/>
    <col min="5" max="5" width="14" bestFit="1" customWidth="1"/>
    <col min="6" max="6" width="14.140625" bestFit="1" customWidth="1"/>
    <col min="7" max="7" width="14.28515625" bestFit="1" customWidth="1"/>
    <col min="8" max="9" width="14.28515625" customWidth="1"/>
    <col min="10" max="10" width="13.7109375" customWidth="1"/>
  </cols>
  <sheetData>
    <row r="1" spans="1:10" ht="18.75" x14ac:dyDescent="0.3">
      <c r="A1" s="7" t="s">
        <v>100</v>
      </c>
    </row>
    <row r="2" spans="1:10" ht="17.25" x14ac:dyDescent="0.25">
      <c r="A2" t="s">
        <v>40</v>
      </c>
      <c r="B2" t="s">
        <v>0</v>
      </c>
      <c r="C2" t="s">
        <v>119</v>
      </c>
      <c r="D2" t="s">
        <v>118</v>
      </c>
      <c r="E2" t="s">
        <v>117</v>
      </c>
      <c r="F2" t="s">
        <v>116</v>
      </c>
      <c r="G2" t="s">
        <v>115</v>
      </c>
      <c r="H2" t="s">
        <v>114</v>
      </c>
      <c r="I2" t="s">
        <v>113</v>
      </c>
      <c r="J2" s="1" t="s">
        <v>112</v>
      </c>
    </row>
    <row r="3" spans="1:10" x14ac:dyDescent="0.25">
      <c r="A3" s="58" t="s">
        <v>39</v>
      </c>
      <c r="B3" t="s">
        <v>33</v>
      </c>
      <c r="C3">
        <v>0</v>
      </c>
      <c r="D3" s="9" t="e">
        <f>C3/SUM($C$3:$C$10)/'lit data'!I3</f>
        <v>#DIV/0!</v>
      </c>
      <c r="E3" s="9" t="e">
        <f>$D3*'lit data'!D3</f>
        <v>#DIV/0!</v>
      </c>
      <c r="F3" s="9" t="e">
        <f>$D3*'lit data'!E3</f>
        <v>#DIV/0!</v>
      </c>
      <c r="G3" s="9" t="e">
        <f>$D3*'lit data'!F3</f>
        <v>#DIV/0!</v>
      </c>
      <c r="H3" s="9" t="e">
        <f>$D3*'lit data'!G3</f>
        <v>#DIV/0!</v>
      </c>
      <c r="I3" s="9" t="e">
        <f>$D3*'lit data'!H3</f>
        <v>#DIV/0!</v>
      </c>
      <c r="J3" s="8" t="e">
        <f>D3*'lit data'!J3</f>
        <v>#DIV/0!</v>
      </c>
    </row>
    <row r="4" spans="1:10" x14ac:dyDescent="0.25">
      <c r="A4" s="58"/>
      <c r="B4" t="s">
        <v>71</v>
      </c>
      <c r="C4" s="8">
        <v>0</v>
      </c>
      <c r="D4" s="9" t="e">
        <f>C4/SUM($C$3:$C$10)/'lit data'!I4</f>
        <v>#DIV/0!</v>
      </c>
      <c r="E4" s="9" t="e">
        <f>$D4*'lit data'!D4</f>
        <v>#DIV/0!</v>
      </c>
      <c r="F4" s="9" t="e">
        <f>$D4*'lit data'!E4</f>
        <v>#DIV/0!</v>
      </c>
      <c r="G4" s="9" t="e">
        <f>$D4*'lit data'!F4</f>
        <v>#DIV/0!</v>
      </c>
      <c r="H4" s="9" t="e">
        <f>$D4*'lit data'!G4</f>
        <v>#DIV/0!</v>
      </c>
      <c r="I4" s="9" t="e">
        <f>$D4*'lit data'!H4</f>
        <v>#DIV/0!</v>
      </c>
      <c r="J4" s="8" t="e">
        <f>D4*'lit data'!J4</f>
        <v>#DIV/0!</v>
      </c>
    </row>
    <row r="5" spans="1:10" x14ac:dyDescent="0.25">
      <c r="A5" s="58"/>
      <c r="B5" t="s">
        <v>34</v>
      </c>
      <c r="C5">
        <v>0</v>
      </c>
      <c r="D5" s="9" t="e">
        <f>C5/SUM($C$3:$C$10)/'lit data'!I5</f>
        <v>#DIV/0!</v>
      </c>
      <c r="E5" s="9" t="e">
        <f>$D5*'lit data'!D5</f>
        <v>#DIV/0!</v>
      </c>
      <c r="F5" s="9" t="e">
        <f>$D5*'lit data'!E5</f>
        <v>#DIV/0!</v>
      </c>
      <c r="G5" s="9" t="e">
        <f>$D5*'lit data'!F5</f>
        <v>#DIV/0!</v>
      </c>
      <c r="H5" s="9" t="e">
        <f>$D5*'lit data'!G5</f>
        <v>#DIV/0!</v>
      </c>
      <c r="I5" s="9" t="e">
        <f>$D5*'lit data'!H5</f>
        <v>#DIV/0!</v>
      </c>
      <c r="J5" s="8" t="e">
        <f>D5*'lit data'!J5</f>
        <v>#DIV/0!</v>
      </c>
    </row>
    <row r="6" spans="1:10" x14ac:dyDescent="0.25">
      <c r="A6" s="58"/>
      <c r="B6" t="s">
        <v>35</v>
      </c>
      <c r="C6">
        <v>0</v>
      </c>
      <c r="D6" s="9" t="e">
        <f>C6/SUM($C$3:$C$10)/'lit data'!I6</f>
        <v>#DIV/0!</v>
      </c>
      <c r="E6" s="9" t="e">
        <f>$D6*'lit data'!D6</f>
        <v>#DIV/0!</v>
      </c>
      <c r="F6" s="9" t="e">
        <f>$D6*'lit data'!E6</f>
        <v>#DIV/0!</v>
      </c>
      <c r="G6" s="9" t="e">
        <f>$D6*'lit data'!F6</f>
        <v>#DIV/0!</v>
      </c>
      <c r="H6" s="9" t="e">
        <f>$D6*'lit data'!G6</f>
        <v>#DIV/0!</v>
      </c>
      <c r="I6" s="9" t="e">
        <f>$D6*'lit data'!H6</f>
        <v>#DIV/0!</v>
      </c>
      <c r="J6" s="8" t="e">
        <f>D6*'lit data'!J6</f>
        <v>#DIV/0!</v>
      </c>
    </row>
    <row r="7" spans="1:10" x14ac:dyDescent="0.25">
      <c r="A7" s="58"/>
      <c r="B7" t="s">
        <v>36</v>
      </c>
      <c r="C7">
        <v>0</v>
      </c>
      <c r="D7" s="9" t="e">
        <f>C7/SUM($C$3:$C$10)/'lit data'!I7</f>
        <v>#DIV/0!</v>
      </c>
      <c r="E7" s="9" t="e">
        <f>$D7*'lit data'!D7</f>
        <v>#DIV/0!</v>
      </c>
      <c r="F7" s="9" t="e">
        <f>$D7*'lit data'!E7</f>
        <v>#DIV/0!</v>
      </c>
      <c r="G7" s="9" t="e">
        <f>$D7*'lit data'!F7</f>
        <v>#DIV/0!</v>
      </c>
      <c r="H7" s="9" t="e">
        <f>$D7*'lit data'!G7</f>
        <v>#DIV/0!</v>
      </c>
      <c r="I7" s="9" t="e">
        <f>$D7*'lit data'!H7</f>
        <v>#DIV/0!</v>
      </c>
      <c r="J7" s="8" t="e">
        <f>D7*'lit data'!J7</f>
        <v>#DIV/0!</v>
      </c>
    </row>
    <row r="8" spans="1:10" x14ac:dyDescent="0.25">
      <c r="A8" s="58"/>
      <c r="B8" t="s">
        <v>37</v>
      </c>
      <c r="C8">
        <v>0</v>
      </c>
      <c r="D8" s="9" t="e">
        <f>C8/SUM($C$3:$C$10)/'lit data'!I8</f>
        <v>#DIV/0!</v>
      </c>
      <c r="E8" s="9" t="e">
        <f>$D8*'lit data'!D8</f>
        <v>#DIV/0!</v>
      </c>
      <c r="F8" s="9" t="e">
        <f>$D8*'lit data'!E8</f>
        <v>#DIV/0!</v>
      </c>
      <c r="G8" s="9" t="e">
        <f>$D8*'lit data'!F8</f>
        <v>#DIV/0!</v>
      </c>
      <c r="H8" s="9" t="e">
        <f>$D8*'lit data'!G8</f>
        <v>#DIV/0!</v>
      </c>
      <c r="I8" s="9" t="e">
        <f>$D8*'lit data'!H8</f>
        <v>#DIV/0!</v>
      </c>
      <c r="J8" s="8" t="e">
        <f>D8*'lit data'!J8</f>
        <v>#DIV/0!</v>
      </c>
    </row>
    <row r="9" spans="1:10" x14ac:dyDescent="0.25">
      <c r="A9" s="58"/>
      <c r="B9" t="s">
        <v>38</v>
      </c>
      <c r="C9">
        <v>0</v>
      </c>
      <c r="D9" s="9" t="e">
        <f>C9/SUM($C$3:$C$10)/'lit data'!I9</f>
        <v>#DIV/0!</v>
      </c>
      <c r="E9" s="9" t="e">
        <f>$D9*'lit data'!D9</f>
        <v>#DIV/0!</v>
      </c>
      <c r="F9" s="9" t="e">
        <f>$D9*'lit data'!E9</f>
        <v>#DIV/0!</v>
      </c>
      <c r="G9" s="9" t="e">
        <f>$D9*'lit data'!F9</f>
        <v>#DIV/0!</v>
      </c>
      <c r="H9" s="9" t="e">
        <f>$D9*'lit data'!G9</f>
        <v>#DIV/0!</v>
      </c>
      <c r="I9" s="9" t="e">
        <f>$D9*'lit data'!H9</f>
        <v>#DIV/0!</v>
      </c>
      <c r="J9" s="8" t="e">
        <f>D9*'lit data'!J9</f>
        <v>#DIV/0!</v>
      </c>
    </row>
    <row r="10" spans="1:10" x14ac:dyDescent="0.25">
      <c r="A10" s="58"/>
      <c r="B10" t="s">
        <v>5</v>
      </c>
      <c r="C10">
        <v>0</v>
      </c>
      <c r="D10" s="9" t="e">
        <f>C10/SUM($C$3:$C$10)/'lit data'!I10</f>
        <v>#DIV/0!</v>
      </c>
      <c r="E10" s="9" t="e">
        <f>$D10*'lit data'!D10</f>
        <v>#DIV/0!</v>
      </c>
      <c r="F10" s="9" t="e">
        <f>$D10*'lit data'!E10</f>
        <v>#DIV/0!</v>
      </c>
      <c r="G10" s="9" t="e">
        <f>$D10*'lit data'!F10</f>
        <v>#DIV/0!</v>
      </c>
      <c r="H10" s="9" t="e">
        <f>$D10*'lit data'!G10</f>
        <v>#DIV/0!</v>
      </c>
      <c r="I10" s="9" t="e">
        <f>$D10*'lit data'!H10</f>
        <v>#DIV/0!</v>
      </c>
      <c r="J10" s="8" t="e">
        <f>D10*'lit data'!J10</f>
        <v>#DIV/0!</v>
      </c>
    </row>
    <row r="11" spans="1:10" x14ac:dyDescent="0.25">
      <c r="A11" s="58" t="s">
        <v>2</v>
      </c>
      <c r="B11" t="s">
        <v>26</v>
      </c>
      <c r="C11">
        <v>0</v>
      </c>
      <c r="D11" s="9" t="e">
        <f>C11/SUM($C$11:$C$30)/'lit data'!I11</f>
        <v>#DIV/0!</v>
      </c>
      <c r="E11" s="9" t="e">
        <f>$D11*'lit data'!D11</f>
        <v>#DIV/0!</v>
      </c>
      <c r="F11" s="9" t="e">
        <f>$D11*'lit data'!E11</f>
        <v>#DIV/0!</v>
      </c>
      <c r="G11" s="9" t="e">
        <f>$D11*'lit data'!F11</f>
        <v>#DIV/0!</v>
      </c>
      <c r="H11" s="9" t="e">
        <f>$D11*'lit data'!G11</f>
        <v>#DIV/0!</v>
      </c>
      <c r="I11" s="9" t="e">
        <f>$D11*'lit data'!H11</f>
        <v>#DIV/0!</v>
      </c>
      <c r="J11" s="8" t="e">
        <f>D11*'lit data'!J11</f>
        <v>#DIV/0!</v>
      </c>
    </row>
    <row r="12" spans="1:10" x14ac:dyDescent="0.25">
      <c r="A12" s="58"/>
      <c r="B12" t="s">
        <v>24</v>
      </c>
      <c r="C12">
        <v>0</v>
      </c>
      <c r="D12" s="9" t="e">
        <f>C12/SUM($C$11:$C$30)/'lit data'!I12</f>
        <v>#DIV/0!</v>
      </c>
      <c r="E12" s="9" t="e">
        <f>$D12*'lit data'!D12</f>
        <v>#DIV/0!</v>
      </c>
      <c r="F12" s="9" t="e">
        <f>$D12*'lit data'!E12</f>
        <v>#DIV/0!</v>
      </c>
      <c r="G12" s="9" t="e">
        <f>$D12*'lit data'!F12</f>
        <v>#DIV/0!</v>
      </c>
      <c r="H12" s="9" t="e">
        <f>$D12*'lit data'!G12</f>
        <v>#DIV/0!</v>
      </c>
      <c r="I12" s="9" t="e">
        <f>$D12*'lit data'!H12</f>
        <v>#DIV/0!</v>
      </c>
      <c r="J12" s="8" t="e">
        <f>D12*'lit data'!J12</f>
        <v>#DIV/0!</v>
      </c>
    </row>
    <row r="13" spans="1:10" ht="16.5" customHeight="1" x14ac:dyDescent="0.25">
      <c r="A13" s="58"/>
      <c r="B13" s="6" t="s">
        <v>43</v>
      </c>
      <c r="C13" s="8">
        <v>0</v>
      </c>
      <c r="D13" s="9" t="e">
        <f>C13/SUM($C$11:$C$30)/'lit data'!I13</f>
        <v>#DIV/0!</v>
      </c>
      <c r="E13" s="9" t="e">
        <f>$D13*'lit data'!D13</f>
        <v>#DIV/0!</v>
      </c>
      <c r="F13" s="9" t="e">
        <f>$D13*'lit data'!E13</f>
        <v>#DIV/0!</v>
      </c>
      <c r="G13" s="9" t="e">
        <f>$D13*'lit data'!F13</f>
        <v>#DIV/0!</v>
      </c>
      <c r="H13" s="9" t="e">
        <f>$D13*'lit data'!G13</f>
        <v>#DIV/0!</v>
      </c>
      <c r="I13" s="9" t="e">
        <f>$D13*'lit data'!H13</f>
        <v>#DIV/0!</v>
      </c>
      <c r="J13" s="8" t="e">
        <f>D13*'lit data'!J13</f>
        <v>#DIV/0!</v>
      </c>
    </row>
    <row r="14" spans="1:10" x14ac:dyDescent="0.25">
      <c r="A14" s="58"/>
      <c r="B14" t="s">
        <v>27</v>
      </c>
      <c r="C14">
        <v>0</v>
      </c>
      <c r="D14" s="9" t="e">
        <f>C14/SUM($C$11:$C$30)/'lit data'!I14</f>
        <v>#DIV/0!</v>
      </c>
      <c r="E14" s="9" t="e">
        <f>$D14*'lit data'!D14</f>
        <v>#DIV/0!</v>
      </c>
      <c r="F14" s="9" t="e">
        <f>$D14*'lit data'!E14</f>
        <v>#DIV/0!</v>
      </c>
      <c r="G14" s="9" t="e">
        <f>$D14*'lit data'!F14</f>
        <v>#DIV/0!</v>
      </c>
      <c r="H14" s="9" t="e">
        <f>$D14*'lit data'!G14</f>
        <v>#DIV/0!</v>
      </c>
      <c r="I14" s="9" t="e">
        <f>$D14*'lit data'!H14</f>
        <v>#DIV/0!</v>
      </c>
      <c r="J14" s="8" t="e">
        <f>D14*'lit data'!J14</f>
        <v>#DIV/0!</v>
      </c>
    </row>
    <row r="15" spans="1:10" x14ac:dyDescent="0.25">
      <c r="A15" s="58"/>
      <c r="B15" t="s">
        <v>20</v>
      </c>
      <c r="C15">
        <v>0</v>
      </c>
      <c r="D15" s="9" t="e">
        <f>C15/SUM($C$11:$C$30)/'lit data'!I15</f>
        <v>#DIV/0!</v>
      </c>
      <c r="E15" s="9" t="e">
        <f>$D15*'lit data'!D15</f>
        <v>#DIV/0!</v>
      </c>
      <c r="F15" s="9" t="e">
        <f>$D15*'lit data'!E15</f>
        <v>#DIV/0!</v>
      </c>
      <c r="G15" s="9" t="e">
        <f>$D15*'lit data'!F15</f>
        <v>#DIV/0!</v>
      </c>
      <c r="H15" s="9" t="e">
        <f>$D15*'lit data'!G15</f>
        <v>#DIV/0!</v>
      </c>
      <c r="I15" s="9" t="e">
        <f>$D15*'lit data'!H15</f>
        <v>#DIV/0!</v>
      </c>
      <c r="J15" s="8" t="e">
        <f>D15*'lit data'!J15</f>
        <v>#DIV/0!</v>
      </c>
    </row>
    <row r="16" spans="1:10" x14ac:dyDescent="0.25">
      <c r="A16" s="58"/>
      <c r="B16" t="s">
        <v>44</v>
      </c>
      <c r="C16" s="8">
        <v>0</v>
      </c>
      <c r="D16" s="9" t="e">
        <f>C16/SUM($C$11:$C$30)/'lit data'!I16</f>
        <v>#DIV/0!</v>
      </c>
      <c r="E16" s="9" t="e">
        <f>$D16*'lit data'!D16</f>
        <v>#DIV/0!</v>
      </c>
      <c r="F16" s="9" t="e">
        <f>$D16*'lit data'!E16</f>
        <v>#DIV/0!</v>
      </c>
      <c r="G16" s="9" t="e">
        <f>$D16*'lit data'!F16</f>
        <v>#DIV/0!</v>
      </c>
      <c r="H16" s="9" t="e">
        <f>$D16*'lit data'!G16</f>
        <v>#DIV/0!</v>
      </c>
      <c r="I16" s="9" t="e">
        <f>$D16*'lit data'!H16</f>
        <v>#DIV/0!</v>
      </c>
      <c r="J16" s="8" t="e">
        <f>D16*'lit data'!J16</f>
        <v>#DIV/0!</v>
      </c>
    </row>
    <row r="17" spans="1:10" x14ac:dyDescent="0.25">
      <c r="A17" s="58"/>
      <c r="B17" t="s">
        <v>28</v>
      </c>
      <c r="C17">
        <v>0</v>
      </c>
      <c r="D17" s="9" t="e">
        <f>C17/SUM($C$11:$C$30)/'lit data'!I17</f>
        <v>#DIV/0!</v>
      </c>
      <c r="E17" s="9" t="e">
        <f>$D17*'lit data'!D17</f>
        <v>#DIV/0!</v>
      </c>
      <c r="F17" s="9" t="e">
        <f>$D17*'lit data'!E17</f>
        <v>#DIV/0!</v>
      </c>
      <c r="G17" s="9" t="e">
        <f>$D17*'lit data'!F17</f>
        <v>#DIV/0!</v>
      </c>
      <c r="H17" s="9" t="e">
        <f>$D17*'lit data'!G17</f>
        <v>#DIV/0!</v>
      </c>
      <c r="I17" s="9" t="e">
        <f>$D17*'lit data'!H17</f>
        <v>#DIV/0!</v>
      </c>
      <c r="J17" s="8" t="e">
        <f>D17*'lit data'!J17</f>
        <v>#DIV/0!</v>
      </c>
    </row>
    <row r="18" spans="1:10" x14ac:dyDescent="0.25">
      <c r="A18" s="58"/>
      <c r="B18" t="s">
        <v>29</v>
      </c>
      <c r="C18">
        <v>0</v>
      </c>
      <c r="D18" s="9" t="e">
        <f>C18/SUM($C$11:$C$30)/'lit data'!I18</f>
        <v>#DIV/0!</v>
      </c>
      <c r="E18" s="9" t="e">
        <f>$D18*'lit data'!D18</f>
        <v>#DIV/0!</v>
      </c>
      <c r="F18" s="9" t="e">
        <f>$D18*'lit data'!E18</f>
        <v>#DIV/0!</v>
      </c>
      <c r="G18" s="9" t="e">
        <f>$D18*'lit data'!F18</f>
        <v>#DIV/0!</v>
      </c>
      <c r="H18" s="9" t="e">
        <f>$D18*'lit data'!G18</f>
        <v>#DIV/0!</v>
      </c>
      <c r="I18" s="9" t="e">
        <f>$D18*'lit data'!H18</f>
        <v>#DIV/0!</v>
      </c>
      <c r="J18" s="8" t="e">
        <f>D18*'lit data'!J18</f>
        <v>#DIV/0!</v>
      </c>
    </row>
    <row r="19" spans="1:10" x14ac:dyDescent="0.25">
      <c r="A19" s="58"/>
      <c r="B19" t="s">
        <v>25</v>
      </c>
      <c r="C19">
        <v>0</v>
      </c>
      <c r="D19" s="9" t="e">
        <f>C19/SUM($C$11:$C$30)/'lit data'!I19</f>
        <v>#DIV/0!</v>
      </c>
      <c r="E19" s="9" t="e">
        <f>$D19*'lit data'!D19</f>
        <v>#DIV/0!</v>
      </c>
      <c r="F19" s="9" t="e">
        <f>$D19*'lit data'!E19</f>
        <v>#DIV/0!</v>
      </c>
      <c r="G19" s="9" t="e">
        <f>$D19*'lit data'!F19</f>
        <v>#DIV/0!</v>
      </c>
      <c r="H19" s="9" t="e">
        <f>$D19*'lit data'!G19</f>
        <v>#DIV/0!</v>
      </c>
      <c r="I19" s="9" t="e">
        <f>$D19*'lit data'!H19</f>
        <v>#DIV/0!</v>
      </c>
      <c r="J19" s="8" t="e">
        <f>D19*'lit data'!J19</f>
        <v>#DIV/0!</v>
      </c>
    </row>
    <row r="20" spans="1:10" x14ac:dyDescent="0.25">
      <c r="A20" s="58"/>
      <c r="B20" t="s">
        <v>16</v>
      </c>
      <c r="C20">
        <v>0</v>
      </c>
      <c r="D20" s="9" t="e">
        <f>C20/SUM($C$11:$C$30)/'lit data'!I20</f>
        <v>#DIV/0!</v>
      </c>
      <c r="E20" s="9" t="e">
        <f>$D20*'lit data'!D20</f>
        <v>#DIV/0!</v>
      </c>
      <c r="F20" s="9" t="e">
        <f>$D20*'lit data'!E20</f>
        <v>#DIV/0!</v>
      </c>
      <c r="G20" s="9" t="e">
        <f>$D20*'lit data'!F20</f>
        <v>#DIV/0!</v>
      </c>
      <c r="H20" s="9" t="e">
        <f>$D20*'lit data'!G20</f>
        <v>#DIV/0!</v>
      </c>
      <c r="I20" s="9" t="e">
        <f>$D20*'lit data'!H20</f>
        <v>#DIV/0!</v>
      </c>
      <c r="J20" s="8" t="e">
        <f>D20*'lit data'!J20</f>
        <v>#DIV/0!</v>
      </c>
    </row>
    <row r="21" spans="1:10" x14ac:dyDescent="0.25">
      <c r="A21" s="58"/>
      <c r="B21" t="s">
        <v>17</v>
      </c>
      <c r="C21">
        <v>0</v>
      </c>
      <c r="D21" s="9" t="e">
        <f>C21/SUM($C$11:$C$30)/'lit data'!I21</f>
        <v>#DIV/0!</v>
      </c>
      <c r="E21" s="9" t="e">
        <f>$D21*'lit data'!D21</f>
        <v>#DIV/0!</v>
      </c>
      <c r="F21" s="9" t="e">
        <f>$D21*'lit data'!E21</f>
        <v>#DIV/0!</v>
      </c>
      <c r="G21" s="9" t="e">
        <f>$D21*'lit data'!F21</f>
        <v>#DIV/0!</v>
      </c>
      <c r="H21" s="9" t="e">
        <f>$D21*'lit data'!G21</f>
        <v>#DIV/0!</v>
      </c>
      <c r="I21" s="9" t="e">
        <f>$D21*'lit data'!H21</f>
        <v>#DIV/0!</v>
      </c>
      <c r="J21" s="8" t="e">
        <f>D21*'lit data'!J21</f>
        <v>#DIV/0!</v>
      </c>
    </row>
    <row r="22" spans="1:10" x14ac:dyDescent="0.25">
      <c r="A22" s="58"/>
      <c r="B22" t="s">
        <v>18</v>
      </c>
      <c r="C22">
        <v>0</v>
      </c>
      <c r="D22" s="9" t="e">
        <f>C22/SUM($C$11:$C$30)/'lit data'!I22</f>
        <v>#DIV/0!</v>
      </c>
      <c r="E22" s="9" t="e">
        <f>$D22*'lit data'!D22</f>
        <v>#DIV/0!</v>
      </c>
      <c r="F22" s="9" t="e">
        <f>$D22*'lit data'!E22</f>
        <v>#DIV/0!</v>
      </c>
      <c r="G22" s="9" t="e">
        <f>$D22*'lit data'!F22</f>
        <v>#DIV/0!</v>
      </c>
      <c r="H22" s="9" t="e">
        <f>$D22*'lit data'!G22</f>
        <v>#DIV/0!</v>
      </c>
      <c r="I22" s="9" t="e">
        <f>$D22*'lit data'!H22</f>
        <v>#DIV/0!</v>
      </c>
      <c r="J22" s="8" t="e">
        <f>D22*'lit data'!J22</f>
        <v>#DIV/0!</v>
      </c>
    </row>
    <row r="23" spans="1:10" x14ac:dyDescent="0.25">
      <c r="A23" s="58"/>
      <c r="B23" t="s">
        <v>19</v>
      </c>
      <c r="C23">
        <v>0</v>
      </c>
      <c r="D23" s="9" t="e">
        <f>C23/SUM($C$11:$C$30)/'lit data'!I23</f>
        <v>#DIV/0!</v>
      </c>
      <c r="E23" s="9" t="e">
        <f>$D23*'lit data'!D23</f>
        <v>#DIV/0!</v>
      </c>
      <c r="F23" s="9" t="e">
        <f>$D23*'lit data'!E23</f>
        <v>#DIV/0!</v>
      </c>
      <c r="G23" s="9" t="e">
        <f>$D23*'lit data'!F23</f>
        <v>#DIV/0!</v>
      </c>
      <c r="H23" s="9" t="e">
        <f>$D23*'lit data'!G23</f>
        <v>#DIV/0!</v>
      </c>
      <c r="I23" s="9" t="e">
        <f>$D23*'lit data'!H23</f>
        <v>#DIV/0!</v>
      </c>
      <c r="J23" s="8" t="e">
        <f>D23*'lit data'!J23</f>
        <v>#DIV/0!</v>
      </c>
    </row>
    <row r="24" spans="1:10" x14ac:dyDescent="0.25">
      <c r="A24" s="58"/>
      <c r="B24" t="s">
        <v>21</v>
      </c>
      <c r="C24">
        <v>0</v>
      </c>
      <c r="D24" s="9" t="e">
        <f>C24/SUM($C$11:$C$30)/'lit data'!I24</f>
        <v>#DIV/0!</v>
      </c>
      <c r="E24" s="9" t="e">
        <f>$D24*'lit data'!D24</f>
        <v>#DIV/0!</v>
      </c>
      <c r="F24" s="9" t="e">
        <f>$D24*'lit data'!E24</f>
        <v>#DIV/0!</v>
      </c>
      <c r="G24" s="9" t="e">
        <f>$D24*'lit data'!F24</f>
        <v>#DIV/0!</v>
      </c>
      <c r="H24" s="9" t="e">
        <f>$D24*'lit data'!G24</f>
        <v>#DIV/0!</v>
      </c>
      <c r="I24" s="9" t="e">
        <f>$D24*'lit data'!H24</f>
        <v>#DIV/0!</v>
      </c>
      <c r="J24" s="8" t="e">
        <f>D24*'lit data'!J24</f>
        <v>#DIV/0!</v>
      </c>
    </row>
    <row r="25" spans="1:10" x14ac:dyDescent="0.25">
      <c r="A25" s="58"/>
      <c r="B25" t="s">
        <v>30</v>
      </c>
      <c r="C25">
        <v>0</v>
      </c>
      <c r="D25" s="9" t="e">
        <f>C25/SUM($C$11:$C$30)/'lit data'!I25</f>
        <v>#DIV/0!</v>
      </c>
      <c r="E25" s="9" t="e">
        <f>$D25*'lit data'!D25</f>
        <v>#DIV/0!</v>
      </c>
      <c r="F25" s="9" t="e">
        <f>$D25*'lit data'!E25</f>
        <v>#DIV/0!</v>
      </c>
      <c r="G25" s="9" t="e">
        <f>$D25*'lit data'!F25</f>
        <v>#DIV/0!</v>
      </c>
      <c r="H25" s="9" t="e">
        <f>$D25*'lit data'!G25</f>
        <v>#DIV/0!</v>
      </c>
      <c r="I25" s="9" t="e">
        <f>$D25*'lit data'!H25</f>
        <v>#DIV/0!</v>
      </c>
      <c r="J25" s="8" t="e">
        <f>D25*'lit data'!J25</f>
        <v>#DIV/0!</v>
      </c>
    </row>
    <row r="26" spans="1:10" x14ac:dyDescent="0.25">
      <c r="A26" s="58"/>
      <c r="B26" t="s">
        <v>31</v>
      </c>
      <c r="C26">
        <v>0</v>
      </c>
      <c r="D26" s="9" t="e">
        <f>C26/SUM($C$11:$C$30)/'lit data'!I26</f>
        <v>#DIV/0!</v>
      </c>
      <c r="E26" s="9" t="e">
        <f>$D26*'lit data'!D26</f>
        <v>#DIV/0!</v>
      </c>
      <c r="F26" s="9" t="e">
        <f>$D26*'lit data'!E26</f>
        <v>#DIV/0!</v>
      </c>
      <c r="G26" s="9" t="e">
        <f>$D26*'lit data'!F26</f>
        <v>#DIV/0!</v>
      </c>
      <c r="H26" s="9" t="e">
        <f>$D26*'lit data'!G26</f>
        <v>#DIV/0!</v>
      </c>
      <c r="I26" s="9" t="e">
        <f>$D26*'lit data'!H26</f>
        <v>#DIV/0!</v>
      </c>
      <c r="J26" s="8" t="e">
        <f>D26*'lit data'!J26</f>
        <v>#DIV/0!</v>
      </c>
    </row>
    <row r="27" spans="1:10" x14ac:dyDescent="0.25">
      <c r="A27" s="58"/>
      <c r="B27" t="s">
        <v>15</v>
      </c>
      <c r="C27">
        <v>0</v>
      </c>
      <c r="D27" s="9" t="e">
        <f>C27/SUM($C$11:$C$30)/'lit data'!I27</f>
        <v>#DIV/0!</v>
      </c>
      <c r="E27" s="9" t="e">
        <f>$D27*'lit data'!D27</f>
        <v>#DIV/0!</v>
      </c>
      <c r="F27" s="9" t="e">
        <f>$D27*'lit data'!E27</f>
        <v>#DIV/0!</v>
      </c>
      <c r="G27" s="9" t="e">
        <f>$D27*'lit data'!F27</f>
        <v>#DIV/0!</v>
      </c>
      <c r="H27" s="9" t="e">
        <f>$D27*'lit data'!G27</f>
        <v>#DIV/0!</v>
      </c>
      <c r="I27" s="9" t="e">
        <f>$D27*'lit data'!H27</f>
        <v>#DIV/0!</v>
      </c>
      <c r="J27" s="8" t="e">
        <f>D27*'lit data'!J27</f>
        <v>#DIV/0!</v>
      </c>
    </row>
    <row r="28" spans="1:10" x14ac:dyDescent="0.25">
      <c r="A28" s="58"/>
      <c r="B28" t="s">
        <v>14</v>
      </c>
      <c r="C28">
        <v>0</v>
      </c>
      <c r="D28" s="9" t="e">
        <f>C28/SUM($C$11:$C$30)/'lit data'!I28</f>
        <v>#DIV/0!</v>
      </c>
      <c r="E28" s="9" t="e">
        <f>$D28*'lit data'!D28</f>
        <v>#DIV/0!</v>
      </c>
      <c r="F28" s="9" t="e">
        <f>$D28*'lit data'!E28</f>
        <v>#DIV/0!</v>
      </c>
      <c r="G28" s="9" t="e">
        <f>$D28*'lit data'!F28</f>
        <v>#DIV/0!</v>
      </c>
      <c r="H28" s="9" t="e">
        <f>$D28*'lit data'!G28</f>
        <v>#DIV/0!</v>
      </c>
      <c r="I28" s="9" t="e">
        <f>$D28*'lit data'!H28</f>
        <v>#DIV/0!</v>
      </c>
      <c r="J28" s="8" t="e">
        <f>D28*'lit data'!J28</f>
        <v>#DIV/0!</v>
      </c>
    </row>
    <row r="29" spans="1:10" x14ac:dyDescent="0.25">
      <c r="A29" s="58"/>
      <c r="B29" t="s">
        <v>22</v>
      </c>
      <c r="C29">
        <v>0</v>
      </c>
      <c r="D29" s="9" t="e">
        <f>C29/SUM($C$11:$C$30)/'lit data'!I29</f>
        <v>#DIV/0!</v>
      </c>
      <c r="E29" s="9" t="e">
        <f>$D29*'lit data'!D29</f>
        <v>#DIV/0!</v>
      </c>
      <c r="F29" s="9" t="e">
        <f>$D29*'lit data'!E29</f>
        <v>#DIV/0!</v>
      </c>
      <c r="G29" s="9" t="e">
        <f>$D29*'lit data'!F29</f>
        <v>#DIV/0!</v>
      </c>
      <c r="H29" s="9" t="e">
        <f>$D29*'lit data'!G29</f>
        <v>#DIV/0!</v>
      </c>
      <c r="I29" s="9" t="e">
        <f>$D29*'lit data'!H29</f>
        <v>#DIV/0!</v>
      </c>
      <c r="J29" s="8" t="e">
        <f>D29*'lit data'!J29</f>
        <v>#DIV/0!</v>
      </c>
    </row>
    <row r="30" spans="1:10" x14ac:dyDescent="0.25">
      <c r="A30" s="58"/>
      <c r="B30" t="s">
        <v>23</v>
      </c>
      <c r="C30">
        <v>0</v>
      </c>
      <c r="D30" s="9" t="e">
        <f>C30/SUM($C$11:$C$30)/'lit data'!I30</f>
        <v>#DIV/0!</v>
      </c>
      <c r="E30" s="9" t="e">
        <f>$D30*'lit data'!D30</f>
        <v>#DIV/0!</v>
      </c>
      <c r="F30" s="9" t="e">
        <f>$D30*'lit data'!E30</f>
        <v>#DIV/0!</v>
      </c>
      <c r="G30" s="9" t="e">
        <f>$D30*'lit data'!F30</f>
        <v>#DIV/0!</v>
      </c>
      <c r="H30" s="9" t="e">
        <f>$D30*'lit data'!G30</f>
        <v>#DIV/0!</v>
      </c>
      <c r="I30" s="9" t="e">
        <f>$D30*'lit data'!H30</f>
        <v>#DIV/0!</v>
      </c>
      <c r="J30" s="8" t="e">
        <f>D30*'lit data'!J30</f>
        <v>#DIV/0!</v>
      </c>
    </row>
    <row r="31" spans="1:10" x14ac:dyDescent="0.25">
      <c r="A31" s="58" t="s">
        <v>134</v>
      </c>
      <c r="B31" s="26">
        <v>0.16666666666666666</v>
      </c>
      <c r="C31">
        <v>0</v>
      </c>
      <c r="D31" s="9">
        <f>C31/SUM($C$31:$C$48)/'lit data'!I31</f>
        <v>0</v>
      </c>
      <c r="E31" s="9">
        <f>$D31*'lit data'!D31</f>
        <v>0</v>
      </c>
      <c r="F31" s="9">
        <f>$D31*'lit data'!E31</f>
        <v>0</v>
      </c>
      <c r="G31" s="9">
        <f>$D31*'lit data'!F31</f>
        <v>0</v>
      </c>
      <c r="H31" s="9">
        <f>$D31*'lit data'!G31</f>
        <v>0</v>
      </c>
      <c r="I31" s="9">
        <f>$D31*'lit data'!H31</f>
        <v>0</v>
      </c>
      <c r="J31" s="8">
        <f>D31*'lit data'!J31</f>
        <v>0</v>
      </c>
    </row>
    <row r="32" spans="1:10" x14ac:dyDescent="0.25">
      <c r="A32" s="58"/>
      <c r="B32" s="26">
        <v>0.25</v>
      </c>
      <c r="C32">
        <v>0</v>
      </c>
      <c r="D32" s="9">
        <f>C32/SUM($C$31:$C$48)/'lit data'!I32</f>
        <v>0</v>
      </c>
      <c r="E32" s="9">
        <f>$D32*'lit data'!D32</f>
        <v>0</v>
      </c>
      <c r="F32" s="9">
        <f>$D32*'lit data'!E32</f>
        <v>0</v>
      </c>
      <c r="G32" s="9">
        <f>$D32*'lit data'!F32</f>
        <v>0</v>
      </c>
      <c r="H32" s="9">
        <f>$D32*'lit data'!G32</f>
        <v>0</v>
      </c>
      <c r="I32" s="9">
        <f>$D32*'lit data'!H32</f>
        <v>0</v>
      </c>
      <c r="J32" s="8">
        <f>D32*'lit data'!J32</f>
        <v>0</v>
      </c>
    </row>
    <row r="33" spans="1:10" x14ac:dyDescent="0.25">
      <c r="A33" s="58"/>
      <c r="B33" s="26">
        <v>0.33333333333333331</v>
      </c>
      <c r="C33">
        <v>0</v>
      </c>
      <c r="D33" s="9">
        <f>C33/SUM($C$31:$C$48)/'lit data'!I33</f>
        <v>0</v>
      </c>
      <c r="E33" s="9">
        <f>$D33*'lit data'!D33</f>
        <v>0</v>
      </c>
      <c r="F33" s="9">
        <f>$D33*'lit data'!E33</f>
        <v>0</v>
      </c>
      <c r="G33" s="9">
        <f>$D33*'lit data'!F33</f>
        <v>0</v>
      </c>
      <c r="H33" s="9">
        <f>$D33*'lit data'!G33</f>
        <v>0</v>
      </c>
      <c r="I33" s="9">
        <f>$D33*'lit data'!H33</f>
        <v>0</v>
      </c>
      <c r="J33" s="8">
        <f>D33*'lit data'!J33</f>
        <v>0</v>
      </c>
    </row>
    <row r="34" spans="1:10" x14ac:dyDescent="0.25">
      <c r="A34" s="58"/>
      <c r="B34" s="26">
        <v>0.41666666666666669</v>
      </c>
      <c r="C34">
        <v>5.0000000000000001E-3</v>
      </c>
      <c r="D34" s="9">
        <f>C34/SUM($C$31:$C$48)/'lit data'!I34</f>
        <v>1.3619599296352666E-5</v>
      </c>
      <c r="E34" s="9">
        <f>$D34*'lit data'!D34</f>
        <v>1.4981559225987932E-4</v>
      </c>
      <c r="F34" s="9">
        <f>$D34*'lit data'!E34</f>
        <v>2.8147625865772058E-4</v>
      </c>
      <c r="G34" s="9">
        <f>$D34*'lit data'!F34</f>
        <v>2.7239198592705331E-5</v>
      </c>
      <c r="H34" s="9">
        <f>$D34*'lit data'!G34</f>
        <v>0</v>
      </c>
      <c r="I34" s="9">
        <f>$D34*'lit data'!H34</f>
        <v>0</v>
      </c>
      <c r="J34" s="8">
        <f>D34*'lit data'!J34</f>
        <v>8.2797630002316769E-2</v>
      </c>
    </row>
    <row r="35" spans="1:10" x14ac:dyDescent="0.25">
      <c r="A35" s="58"/>
      <c r="B35" s="26">
        <v>0.5</v>
      </c>
      <c r="C35">
        <v>5.0000000000000001E-3</v>
      </c>
      <c r="D35" s="9">
        <f>C35/SUM($C$31:$C$48)/'lit data'!I35</f>
        <v>1.1826426024063713E-5</v>
      </c>
      <c r="E35" s="9">
        <f>$D35*'lit data'!D35</f>
        <v>1.5374353831282828E-4</v>
      </c>
      <c r="F35" s="9">
        <f>$D35*'lit data'!E35</f>
        <v>2.9172245073557962E-4</v>
      </c>
      <c r="G35" s="9">
        <f>$D35*'lit data'!F35</f>
        <v>2.3652852048127427E-5</v>
      </c>
      <c r="H35" s="9">
        <f>$D35*'lit data'!G35</f>
        <v>0</v>
      </c>
      <c r="I35" s="9">
        <f>$D35*'lit data'!H35</f>
        <v>0</v>
      </c>
      <c r="J35" s="8">
        <f>D35*'lit data'!J35</f>
        <v>8.7243544779518012E-2</v>
      </c>
    </row>
    <row r="36" spans="1:10" x14ac:dyDescent="0.25">
      <c r="A36" s="58"/>
      <c r="B36" s="26">
        <v>0.58333333333333337</v>
      </c>
      <c r="C36">
        <v>0.14399999999999999</v>
      </c>
      <c r="D36" s="9">
        <f>C36/SUM($C$31:$C$48)/'lit data'!I36</f>
        <v>3.0097440715127235E-4</v>
      </c>
      <c r="E36" s="9">
        <f>$D36*'lit data'!D36</f>
        <v>4.514616107269085E-3</v>
      </c>
      <c r="F36" s="9">
        <f>$D36*'lit data'!E36</f>
        <v>8.6280333298055251E-3</v>
      </c>
      <c r="G36" s="9">
        <f>$D36*'lit data'!F36</f>
        <v>6.0194881430254471E-4</v>
      </c>
      <c r="H36" s="9">
        <f>$D36*'lit data'!G36</f>
        <v>0</v>
      </c>
      <c r="I36" s="9">
        <f>$D36*'lit data'!H36</f>
        <v>0</v>
      </c>
      <c r="J36" s="8">
        <f>D36*'lit data'!J36</f>
        <v>2.6114646385294451</v>
      </c>
    </row>
    <row r="37" spans="1:10" x14ac:dyDescent="0.25">
      <c r="A37" s="58"/>
      <c r="B37" s="26">
        <v>0.66666666666666663</v>
      </c>
      <c r="C37">
        <v>1.18</v>
      </c>
      <c r="D37" s="9">
        <f>C37/SUM($C$31:$C$48)/'lit data'!I37</f>
        <v>2.2092827485670199E-3</v>
      </c>
      <c r="E37" s="9">
        <f>$D37*'lit data'!D37</f>
        <v>3.7557806725639339E-2</v>
      </c>
      <c r="F37" s="9">
        <f>$D37*'lit data'!E37</f>
        <v>7.2170639547438839E-2</v>
      </c>
      <c r="G37" s="9">
        <f>$D37*'lit data'!F37</f>
        <v>4.4185654971340398E-3</v>
      </c>
      <c r="H37" s="9">
        <f>$D37*'lit data'!G37</f>
        <v>0</v>
      </c>
      <c r="I37" s="9">
        <f>$D37*'lit data'!H37</f>
        <v>0</v>
      </c>
      <c r="J37" s="8">
        <f>D37*'lit data'!J37</f>
        <v>22.042455839002873</v>
      </c>
    </row>
    <row r="38" spans="1:10" x14ac:dyDescent="0.25">
      <c r="A38" s="58"/>
      <c r="B38" s="26">
        <v>0.75</v>
      </c>
      <c r="C38">
        <v>0.64</v>
      </c>
      <c r="D38" s="9">
        <f>C38/SUM($C$31:$C$48)/'lit data'!I38</f>
        <v>1.0851614420789078E-3</v>
      </c>
      <c r="E38" s="9">
        <f>$D38*'lit data'!D38</f>
        <v>2.061806739949925E-2</v>
      </c>
      <c r="F38" s="9">
        <f>$D38*'lit data'!E38</f>
        <v>3.9789614596707316E-2</v>
      </c>
      <c r="G38" s="9">
        <f>$D38*'lit data'!F38</f>
        <v>2.1703228841578157E-3</v>
      </c>
      <c r="H38" s="9">
        <f>$D38*'lit data'!G38</f>
        <v>0</v>
      </c>
      <c r="I38" s="9">
        <f>$D38*'lit data'!H38</f>
        <v>0</v>
      </c>
      <c r="J38" s="8">
        <f>D38*'lit data'!J38</f>
        <v>12.240729582794289</v>
      </c>
    </row>
    <row r="39" spans="1:10" x14ac:dyDescent="0.25">
      <c r="A39" s="58"/>
      <c r="B39" s="26">
        <v>0.83333333333333337</v>
      </c>
      <c r="C39">
        <v>3.0000000000000001E-3</v>
      </c>
      <c r="D39" s="9">
        <f>C39/SUM($C$31:$C$48)/'lit data'!I39</f>
        <v>4.6480064988302929E-6</v>
      </c>
      <c r="E39" s="9">
        <f>$D39*'lit data'!D39</f>
        <v>9.7608136475436154E-5</v>
      </c>
      <c r="F39" s="9">
        <f>$D39*'lit data'!E39</f>
        <v>1.8902048028793153E-4</v>
      </c>
      <c r="G39" s="9">
        <f>$D39*'lit data'!F39</f>
        <v>9.2960129976605858E-6</v>
      </c>
      <c r="H39" s="9">
        <f>$D39*'lit data'!G39</f>
        <v>0</v>
      </c>
      <c r="I39" s="9">
        <f>$D39*'lit data'!H39</f>
        <v>0</v>
      </c>
      <c r="J39" s="8">
        <f>D39*'lit data'!J39</f>
        <v>5.8444963317591872E-2</v>
      </c>
    </row>
    <row r="40" spans="1:10" x14ac:dyDescent="0.25">
      <c r="A40" s="58"/>
      <c r="B40" s="26">
        <v>0.91666666666666663</v>
      </c>
      <c r="C40">
        <v>0</v>
      </c>
      <c r="D40" s="9">
        <f>C40/SUM($C$31:$C$48)/'lit data'!I40</f>
        <v>0</v>
      </c>
      <c r="E40" s="9">
        <f>$D40*'lit data'!D40</f>
        <v>0</v>
      </c>
      <c r="F40" s="9">
        <f>$D40*'lit data'!E40</f>
        <v>0</v>
      </c>
      <c r="G40" s="9">
        <f>$D40*'lit data'!F40</f>
        <v>0</v>
      </c>
      <c r="H40" s="9">
        <f>$D40*'lit data'!G40</f>
        <v>0</v>
      </c>
      <c r="I40" s="9">
        <f>$D40*'lit data'!H40</f>
        <v>0</v>
      </c>
      <c r="J40" s="8">
        <f>D40*'lit data'!J40</f>
        <v>0</v>
      </c>
    </row>
    <row r="41" spans="1:10" x14ac:dyDescent="0.25">
      <c r="A41" s="58"/>
      <c r="B41" t="s">
        <v>107</v>
      </c>
      <c r="C41">
        <v>0</v>
      </c>
      <c r="D41" s="9">
        <f>C41/SUM($C$31:$C$48)/'lit data'!I41</f>
        <v>0</v>
      </c>
      <c r="E41" s="9">
        <f>$D41*'lit data'!D41</f>
        <v>0</v>
      </c>
      <c r="F41" s="9">
        <f>$D41*'lit data'!E41</f>
        <v>0</v>
      </c>
      <c r="G41" s="9">
        <f>$D41*'lit data'!F41</f>
        <v>0</v>
      </c>
      <c r="H41" s="9">
        <f>$D41*'lit data'!G41</f>
        <v>0</v>
      </c>
      <c r="I41" s="9">
        <f>$D41*'lit data'!H41</f>
        <v>0</v>
      </c>
      <c r="J41" s="8">
        <f>D41*'lit data'!J41</f>
        <v>0</v>
      </c>
    </row>
    <row r="42" spans="1:10" x14ac:dyDescent="0.25">
      <c r="A42" s="58"/>
      <c r="B42" t="s">
        <v>10</v>
      </c>
      <c r="C42">
        <v>0</v>
      </c>
      <c r="D42" s="9">
        <f>C42/SUM($C$31:$C$48)/'lit data'!I42</f>
        <v>0</v>
      </c>
      <c r="E42" s="9">
        <f>$D42*'lit data'!D42</f>
        <v>0</v>
      </c>
      <c r="F42" s="9">
        <f>$D42*'lit data'!E42</f>
        <v>0</v>
      </c>
      <c r="G42" s="9">
        <f>$D42*'lit data'!F42</f>
        <v>0</v>
      </c>
      <c r="H42" s="9">
        <f>$D42*'lit data'!G42</f>
        <v>0</v>
      </c>
      <c r="I42" s="9">
        <f>$D42*'lit data'!H42</f>
        <v>0</v>
      </c>
      <c r="J42" s="8">
        <f>D42*'lit data'!J42</f>
        <v>0</v>
      </c>
    </row>
    <row r="43" spans="1:10" x14ac:dyDescent="0.25">
      <c r="A43" s="58"/>
      <c r="B43" t="s">
        <v>11</v>
      </c>
      <c r="C43">
        <v>0</v>
      </c>
      <c r="D43" s="9">
        <f>C43/SUM($C$31:$C$48)/'lit data'!I43</f>
        <v>0</v>
      </c>
      <c r="E43" s="9">
        <f>$D43*'lit data'!D43</f>
        <v>0</v>
      </c>
      <c r="F43" s="9">
        <f>$D43*'lit data'!E43</f>
        <v>0</v>
      </c>
      <c r="G43" s="9">
        <f>$D43*'lit data'!F43</f>
        <v>0</v>
      </c>
      <c r="H43" s="9">
        <f>$D43*'lit data'!G43</f>
        <v>0</v>
      </c>
      <c r="I43" s="9">
        <f>$D43*'lit data'!H43</f>
        <v>0</v>
      </c>
      <c r="J43" s="8">
        <f>D43*'lit data'!J43</f>
        <v>0</v>
      </c>
    </row>
    <row r="44" spans="1:10" x14ac:dyDescent="0.25">
      <c r="A44" s="58"/>
      <c r="B44" t="s">
        <v>12</v>
      </c>
      <c r="C44">
        <v>0</v>
      </c>
      <c r="D44" s="9">
        <f>C44/SUM($C$31:$C$48)/'lit data'!I44</f>
        <v>0</v>
      </c>
      <c r="E44" s="9">
        <f>$D44*'lit data'!D44</f>
        <v>0</v>
      </c>
      <c r="F44" s="9">
        <f>$D44*'lit data'!E44</f>
        <v>0</v>
      </c>
      <c r="G44" s="9">
        <f>$D44*'lit data'!F44</f>
        <v>0</v>
      </c>
      <c r="H44" s="9">
        <f>$D44*'lit data'!G44</f>
        <v>0</v>
      </c>
      <c r="I44" s="9">
        <f>$D44*'lit data'!H44</f>
        <v>0</v>
      </c>
      <c r="J44" s="8">
        <f>D44*'lit data'!J44</f>
        <v>0</v>
      </c>
    </row>
    <row r="45" spans="1:10" x14ac:dyDescent="0.25">
      <c r="A45" s="58"/>
      <c r="B45" t="s">
        <v>108</v>
      </c>
      <c r="C45">
        <v>0</v>
      </c>
      <c r="D45" s="9">
        <f>C45/SUM($C$31:$C$48)/'lit data'!I45</f>
        <v>0</v>
      </c>
      <c r="E45" s="9">
        <f>$D45*'lit data'!D45</f>
        <v>0</v>
      </c>
      <c r="F45" s="9">
        <f>$D45*'lit data'!E45</f>
        <v>0</v>
      </c>
      <c r="G45" s="9">
        <f>$D45*'lit data'!F45</f>
        <v>0</v>
      </c>
      <c r="H45" s="9">
        <f>$D45*'lit data'!G45</f>
        <v>0</v>
      </c>
      <c r="I45" s="9">
        <f>$D45*'lit data'!H45</f>
        <v>0</v>
      </c>
      <c r="J45" s="8">
        <f>D45*'lit data'!J45</f>
        <v>0</v>
      </c>
    </row>
    <row r="46" spans="1:10" x14ac:dyDescent="0.25">
      <c r="A46" s="58"/>
      <c r="B46" t="s">
        <v>109</v>
      </c>
      <c r="C46">
        <v>2E-3</v>
      </c>
      <c r="D46" s="9">
        <f>C46/SUM($C$31:$C$48)/'lit data'!I46</f>
        <v>3.1971456088621403E-6</v>
      </c>
      <c r="E46" s="9">
        <f>$D46*'lit data'!D46</f>
        <v>6.7140057786104946E-5</v>
      </c>
      <c r="F46" s="9">
        <f>$D46*'lit data'!E46</f>
        <v>9.8046864386975262E-5</v>
      </c>
      <c r="G46" s="9">
        <f>$D46*'lit data'!F46</f>
        <v>6.3942912177242806E-6</v>
      </c>
      <c r="H46" s="9">
        <f>$D46*'lit data'!G46</f>
        <v>0</v>
      </c>
      <c r="I46" s="9">
        <f>$D46*'lit data'!H46</f>
        <v>0</v>
      </c>
      <c r="J46" s="8">
        <f>D46*'lit data'!J46</f>
        <v>3.7357828838311812E-2</v>
      </c>
    </row>
    <row r="47" spans="1:10" x14ac:dyDescent="0.25">
      <c r="A47" s="58"/>
      <c r="B47" t="s">
        <v>110</v>
      </c>
      <c r="C47">
        <v>8.0000000000000002E-3</v>
      </c>
      <c r="D47" s="9">
        <f>C47/SUM($C$31:$C$48)/'lit data'!I47</f>
        <v>1.1743602007824776E-5</v>
      </c>
      <c r="E47" s="9">
        <f>$D47*'lit data'!D47</f>
        <v>2.7010284617996983E-4</v>
      </c>
      <c r="F47" s="9">
        <f>$D47*'lit data'!E47</f>
        <v>4.0711545080526155E-4</v>
      </c>
      <c r="G47" s="9">
        <f>$D47*'lit data'!F47</f>
        <v>2.3487204015649552E-5</v>
      </c>
      <c r="H47" s="9">
        <f>$D47*'lit data'!G47</f>
        <v>0</v>
      </c>
      <c r="I47" s="9">
        <f>$D47*'lit data'!H47</f>
        <v>0</v>
      </c>
      <c r="J47" s="8">
        <f>D47*'lit data'!J47</f>
        <v>0.14943131535324725</v>
      </c>
    </row>
    <row r="48" spans="1:10" x14ac:dyDescent="0.25">
      <c r="A48" s="58"/>
      <c r="B48" t="s">
        <v>111</v>
      </c>
      <c r="C48">
        <v>1E-3</v>
      </c>
      <c r="D48" s="9">
        <f>C48/SUM($C$31:$C$48)/'lit data'!I48</f>
        <v>1.4765683457802241E-6</v>
      </c>
      <c r="E48" s="9">
        <f>$D48*'lit data'!D48</f>
        <v>3.3961071952945157E-5</v>
      </c>
      <c r="F48" s="9">
        <f>$D48*'lit data'!E48</f>
        <v>4.823505815160258E-5</v>
      </c>
      <c r="G48" s="9">
        <f>$D48*'lit data'!F48</f>
        <v>2.9531366915604482E-6</v>
      </c>
      <c r="H48" s="9">
        <f>$D48*'lit data'!G48</f>
        <v>0</v>
      </c>
      <c r="I48" s="9">
        <f>$D48*'lit data'!H48</f>
        <v>0</v>
      </c>
      <c r="J48" s="8">
        <f>D48*'lit data'!J48</f>
        <v>1.8678914419155909E-2</v>
      </c>
    </row>
  </sheetData>
  <mergeCells count="3">
    <mergeCell ref="A3:A10"/>
    <mergeCell ref="A11:A30"/>
    <mergeCell ref="A31:A4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directions</vt:lpstr>
      <vt:lpstr>results</vt:lpstr>
      <vt:lpstr>API data</vt:lpstr>
      <vt:lpstr>lit data</vt:lpstr>
      <vt:lpstr>calc mol &amp; energy data</vt:lpstr>
      <vt:lpstr>FDC_ID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</dc:creator>
  <cp:lastModifiedBy>Taylor Davis</cp:lastModifiedBy>
  <cp:lastPrinted>2019-07-03T20:32:46Z</cp:lastPrinted>
  <dcterms:created xsi:type="dcterms:W3CDTF">2019-07-01T16:38:51Z</dcterms:created>
  <dcterms:modified xsi:type="dcterms:W3CDTF">2020-05-15T01:11:27Z</dcterms:modified>
</cp:coreProperties>
</file>